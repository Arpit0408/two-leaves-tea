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pit\Desktop\Sheryians\Projects\two-leaves-tea\assets\"/>
    </mc:Choice>
  </mc:AlternateContent>
  <xr:revisionPtr revIDLastSave="0" documentId="13_ncr:1_{CA1ABF99-5FC0-4E72-95E2-2F9262E82C4A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📋 Overview" sheetId="1" r:id="rId1"/>
    <sheet name="Companies_Master" sheetId="2" r:id="rId2"/>
    <sheet name="Decision_Makers" sheetId="3" r:id="rId3"/>
    <sheet name="Hiring_Contacts" sheetId="4" r:id="rId4"/>
    <sheet name="Outreach_Tracker" sheetId="5" r:id="rId5"/>
    <sheet name="Job_Relevance_Score" sheetId="6" r:id="rId6"/>
  </sheets>
  <definedNames>
    <definedName name="_xlnm._FilterDatabase" localSheetId="1" hidden="1">Companies_Master!$A$1:$P$109</definedName>
    <definedName name="_xlnm._FilterDatabase" localSheetId="2" hidden="1">Decision_Makers!$A$1:$M$1</definedName>
    <definedName name="_xlnm._FilterDatabase" localSheetId="3" hidden="1">Hiring_Contacts!$A$1:$J$1</definedName>
    <definedName name="_xlnm._FilterDatabase" localSheetId="5" hidden="1">Job_Relevance_Score!$A$1:$I$1</definedName>
    <definedName name="_xlnm._FilterDatabase" localSheetId="4" hidden="1">Outreach_Tracker!$A$1:$N$1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1" l="1"/>
  <c r="B7" i="1"/>
  <c r="B6" i="1"/>
  <c r="B5" i="1"/>
  <c r="B4" i="1"/>
</calcChain>
</file>

<file path=xl/sharedStrings.xml><?xml version="1.0" encoding="utf-8"?>
<sst xmlns="http://schemas.openxmlformats.org/spreadsheetml/2006/main" count="2775" uniqueCount="791">
  <si>
    <t>STARTUP HIRING DATABASE</t>
  </si>
  <si>
    <t>Built For:</t>
  </si>
  <si>
    <t>Power BI | SQL | PostgreSQL | Excel | BI | Analytics | MIS | RevOps</t>
  </si>
  <si>
    <t>Total Companies:</t>
  </si>
  <si>
    <t>India Companies:</t>
  </si>
  <si>
    <t>International Companies:</t>
  </si>
  <si>
    <t>Active Hiring:</t>
  </si>
  <si>
    <t>Remote Friendly:</t>
  </si>
  <si>
    <t>Employee Range:</t>
  </si>
  <si>
    <t>10–100 (Verified)</t>
  </si>
  <si>
    <t>Verification Date:</t>
  </si>
  <si>
    <t>2026-05-31</t>
  </si>
  <si>
    <t>TABS GUIDE</t>
  </si>
  <si>
    <t>Companies_Master</t>
  </si>
  <si>
    <t>All verified startups with company details and hiring signals</t>
  </si>
  <si>
    <t>Decision_Makers</t>
  </si>
  <si>
    <t>Founders, CEOs, CTOs, and Analytics Heads with LinkedIn</t>
  </si>
  <si>
    <t>Hiring_Contacts</t>
  </si>
  <si>
    <t>HR, Talent Acquisition, Recruiters and contact emails</t>
  </si>
  <si>
    <t>Outreach_Tracker</t>
  </si>
  <si>
    <t>Track LinkedIn/email outreach, follow-ups, and responses</t>
  </si>
  <si>
    <t>Job_Relevance_Score</t>
  </si>
  <si>
    <t>Color-coded skill match scores per company</t>
  </si>
  <si>
    <t>Company Name</t>
  </si>
  <si>
    <t>Website</t>
  </si>
  <si>
    <t>Country</t>
  </si>
  <si>
    <t>City</t>
  </si>
  <si>
    <t>Industry</t>
  </si>
  <si>
    <t>Funding Stage</t>
  </si>
  <si>
    <t>Employee Count</t>
  </si>
  <si>
    <t>Emp Count Source</t>
  </si>
  <si>
    <t>Verification Date</t>
  </si>
  <si>
    <t>Remote Friendly</t>
  </si>
  <si>
    <t>Hiring Status</t>
  </si>
  <si>
    <t>Open Roles</t>
  </si>
  <si>
    <t>Careers URL</t>
  </si>
  <si>
    <t>LinkedIn Company Page</t>
  </si>
  <si>
    <t>Twitter/X</t>
  </si>
  <si>
    <t>Notes</t>
  </si>
  <si>
    <t>Slintel</t>
  </si>
  <si>
    <t>slintel.com</t>
  </si>
  <si>
    <t>India</t>
  </si>
  <si>
    <t>Bengaluru</t>
  </si>
  <si>
    <t>Sales Intelligence</t>
  </si>
  <si>
    <t>Series A</t>
  </si>
  <si>
    <t>LinkedIn</t>
  </si>
  <si>
    <t>Yes</t>
  </si>
  <si>
    <t>Active</t>
  </si>
  <si>
    <t>Data Analyst, BI Developer</t>
  </si>
  <si>
    <t>/careers</t>
  </si>
  <si>
    <t>linkedin.com/company/slintel</t>
  </si>
  <si>
    <t>@slintel</t>
  </si>
  <si>
    <t>Toplyne</t>
  </si>
  <si>
    <t>toplyne.io</t>
  </si>
  <si>
    <t>Revenue Operations</t>
  </si>
  <si>
    <t>Seed</t>
  </si>
  <si>
    <t>Crunchbase</t>
  </si>
  <si>
    <t>Analytics Associate, RevOps</t>
  </si>
  <si>
    <t>linkedin.com/company/toplyne</t>
  </si>
  <si>
    <t>@toplyne</t>
  </si>
  <si>
    <t>Factors.ai</t>
  </si>
  <si>
    <t>factors.ai</t>
  </si>
  <si>
    <t>B2B Analytics</t>
  </si>
  <si>
    <t>SQL Analyst, Power BI</t>
  </si>
  <si>
    <t>linkedin.com/company/factorsai</t>
  </si>
  <si>
    <t>@factorsai</t>
  </si>
  <si>
    <t>Chargebee</t>
  </si>
  <si>
    <t>chargebee.com</t>
  </si>
  <si>
    <t>Chennai</t>
  </si>
  <si>
    <t>SaaS Billing</t>
  </si>
  <si>
    <t>MIS Executive, Reporting</t>
  </si>
  <si>
    <t>linkedin.com/company/chargebee</t>
  </si>
  <si>
    <t>@chargebee</t>
  </si>
  <si>
    <t>Peoplebox</t>
  </si>
  <si>
    <t>peoplebox.ai</t>
  </si>
  <si>
    <t>HR Tech</t>
  </si>
  <si>
    <t>Wellfound</t>
  </si>
  <si>
    <t>Data Analyst</t>
  </si>
  <si>
    <t>linkedin.com/company/peoplebox</t>
  </si>
  <si>
    <t>@peoplebox</t>
  </si>
  <si>
    <t>Quickwork</t>
  </si>
  <si>
    <t>quickwork.co</t>
  </si>
  <si>
    <t>Mumbai</t>
  </si>
  <si>
    <t>Automation</t>
  </si>
  <si>
    <t>Hybrid</t>
  </si>
  <si>
    <t>Business Intelligence</t>
  </si>
  <si>
    <t>linkedin.com/company/quickwork</t>
  </si>
  <si>
    <t>@quickwork</t>
  </si>
  <si>
    <t>GrowthSchool</t>
  </si>
  <si>
    <t>growthschool.io</t>
  </si>
  <si>
    <t>EdTech</t>
  </si>
  <si>
    <t>Analytics Associate</t>
  </si>
  <si>
    <t>linkedin.com/company/growthschool</t>
  </si>
  <si>
    <t>@growthschool</t>
  </si>
  <si>
    <t>Tyke</t>
  </si>
  <si>
    <t>tyke.club</t>
  </si>
  <si>
    <t>FinTech</t>
  </si>
  <si>
    <t>Pre-Series A</t>
  </si>
  <si>
    <t>Data Analyst, SQL</t>
  </si>
  <si>
    <t>linkedin.com/company/tyke</t>
  </si>
  <si>
    <t>@tyke</t>
  </si>
  <si>
    <t>Signzy</t>
  </si>
  <si>
    <t>signzy.com</t>
  </si>
  <si>
    <t>RegTech</t>
  </si>
  <si>
    <t>BI Developer, Power BI</t>
  </si>
  <si>
    <t>linkedin.com/company/signzy</t>
  </si>
  <si>
    <t>@signzy</t>
  </si>
  <si>
    <t>BetterPlace</t>
  </si>
  <si>
    <t>betterplace.co.in</t>
  </si>
  <si>
    <t>MIS Executive</t>
  </si>
  <si>
    <t>linkedin.com/company/betterplace</t>
  </si>
  <si>
    <t>@betterplace</t>
  </si>
  <si>
    <t>Docsumo</t>
  </si>
  <si>
    <t>docsumo.com</t>
  </si>
  <si>
    <t>AI/ML</t>
  </si>
  <si>
    <t>Data Analyst, PostgreSQL</t>
  </si>
  <si>
    <t>linkedin.com/company/docsumo</t>
  </si>
  <si>
    <t>@docsumo</t>
  </si>
  <si>
    <t>Recko</t>
  </si>
  <si>
    <t>recko.io</t>
  </si>
  <si>
    <t>SQL Analyst, Reporting</t>
  </si>
  <si>
    <t>linkedin.com/company/recko</t>
  </si>
  <si>
    <t>@recko</t>
  </si>
  <si>
    <t>Volopay</t>
  </si>
  <si>
    <t>volopay.com</t>
  </si>
  <si>
    <t>Business Analyst</t>
  </si>
  <si>
    <t>linkedin.com/company/volopay</t>
  </si>
  <si>
    <t>@volopay</t>
  </si>
  <si>
    <t>Zolve</t>
  </si>
  <si>
    <t>zolve.com</t>
  </si>
  <si>
    <t>NeoBank</t>
  </si>
  <si>
    <t>Data Analyst, Excel</t>
  </si>
  <si>
    <t>linkedin.com/company/zolve</t>
  </si>
  <si>
    <t>@zolve</t>
  </si>
  <si>
    <t>Refrens</t>
  </si>
  <si>
    <t>refrens.com</t>
  </si>
  <si>
    <t>B2B SaaS</t>
  </si>
  <si>
    <t>linkedin.com/company/refrens</t>
  </si>
  <si>
    <t>@refrens</t>
  </si>
  <si>
    <t>Springworks</t>
  </si>
  <si>
    <t>springworks.in</t>
  </si>
  <si>
    <t>BI Analyst</t>
  </si>
  <si>
    <t>linkedin.com/company/springworks</t>
  </si>
  <si>
    <t>@springworks</t>
  </si>
  <si>
    <t>Happay</t>
  </si>
  <si>
    <t>happay.in</t>
  </si>
  <si>
    <t>linkedin.com/company/happay</t>
  </si>
  <si>
    <t>@happay</t>
  </si>
  <si>
    <t>Khatabook</t>
  </si>
  <si>
    <t>khatabook.com</t>
  </si>
  <si>
    <t>linkedin.com/company/khatabook</t>
  </si>
  <si>
    <t>@khatabook</t>
  </si>
  <si>
    <t>OkCredit</t>
  </si>
  <si>
    <t>okcredit.in</t>
  </si>
  <si>
    <t>SQL Analyst</t>
  </si>
  <si>
    <t>linkedin.com/company/okcredit</t>
  </si>
  <si>
    <t>@okcredit</t>
  </si>
  <si>
    <t>Leadsquared</t>
  </si>
  <si>
    <t>leadsquared.com</t>
  </si>
  <si>
    <t>CRM SaaS</t>
  </si>
  <si>
    <t>Power BI Developer</t>
  </si>
  <si>
    <t>linkedin.com/company/leadsquared</t>
  </si>
  <si>
    <t>@leadsquared</t>
  </si>
  <si>
    <t>Classplus</t>
  </si>
  <si>
    <t>classplusapp.com</t>
  </si>
  <si>
    <t>Noida</t>
  </si>
  <si>
    <t>Data Analyst, Power BI</t>
  </si>
  <si>
    <t>linkedin.com/company/classplus</t>
  </si>
  <si>
    <t>@classplusapp</t>
  </si>
  <si>
    <t>Kutumb</t>
  </si>
  <si>
    <t>kutumb.app</t>
  </si>
  <si>
    <t>Community</t>
  </si>
  <si>
    <t>linkedin.com/company/kutumb</t>
  </si>
  <si>
    <t>@kutumb</t>
  </si>
  <si>
    <t>Symbo</t>
  </si>
  <si>
    <t>symbo.in</t>
  </si>
  <si>
    <t>InsurTech</t>
  </si>
  <si>
    <t>linkedin.com/company/symbo</t>
  </si>
  <si>
    <t>@symbo</t>
  </si>
  <si>
    <t>Plum</t>
  </si>
  <si>
    <t>plumhq.com</t>
  </si>
  <si>
    <t>linkedin.com/company/plumhq</t>
  </si>
  <si>
    <t>@plumhq</t>
  </si>
  <si>
    <t>Riskcovry</t>
  </si>
  <si>
    <t>riskcovry.com</t>
  </si>
  <si>
    <t>BI Developer</t>
  </si>
  <si>
    <t>linkedin.com/company/riskcovry</t>
  </si>
  <si>
    <t>@riskcovry</t>
  </si>
  <si>
    <t>Mudrex</t>
  </si>
  <si>
    <t>mudrex.com</t>
  </si>
  <si>
    <t>Crypto</t>
  </si>
  <si>
    <t>linkedin.com/company/mudrex</t>
  </si>
  <si>
    <t>@mudrex</t>
  </si>
  <si>
    <t>Walrus</t>
  </si>
  <si>
    <t>walrus.ai</t>
  </si>
  <si>
    <t>AI Testing</t>
  </si>
  <si>
    <t>linkedin.com/company/walrus-ai</t>
  </si>
  <si>
    <t>@walrus_ai</t>
  </si>
  <si>
    <t>Rocketlane</t>
  </si>
  <si>
    <t>rocketlane.com</t>
  </si>
  <si>
    <t>SaaS</t>
  </si>
  <si>
    <t>Operations Analyst</t>
  </si>
  <si>
    <t>linkedin.com/company/rocketlane</t>
  </si>
  <si>
    <t>@rocketlane</t>
  </si>
  <si>
    <t>MoEngage</t>
  </si>
  <si>
    <t>moengage.com</t>
  </si>
  <si>
    <t>MarTech</t>
  </si>
  <si>
    <t>linkedin.com/company/moengage</t>
  </si>
  <si>
    <t>@moengage</t>
  </si>
  <si>
    <t>Storylane</t>
  </si>
  <si>
    <t>storylane.io</t>
  </si>
  <si>
    <t>Product Analyst</t>
  </si>
  <si>
    <t>linkedin.com/company/storylane</t>
  </si>
  <si>
    <t>@storylane</t>
  </si>
  <si>
    <t>Multiplier</t>
  </si>
  <si>
    <t>usemultiplier.com</t>
  </si>
  <si>
    <t>linkedin.com/company/multiplier-technologies</t>
  </si>
  <si>
    <t>@usemultiplier</t>
  </si>
  <si>
    <t>Apna</t>
  </si>
  <si>
    <t>apna.co</t>
  </si>
  <si>
    <t>Job Platform</t>
  </si>
  <si>
    <t>linkedin.com/company/apna-app</t>
  </si>
  <si>
    <t>@apna_app</t>
  </si>
  <si>
    <t>Superops</t>
  </si>
  <si>
    <t>superops.ai</t>
  </si>
  <si>
    <t>IT SaaS</t>
  </si>
  <si>
    <t>linkedin.com/company/superops</t>
  </si>
  <si>
    <t>@superopsai</t>
  </si>
  <si>
    <t>Tooljet</t>
  </si>
  <si>
    <t>tooljet.com</t>
  </si>
  <si>
    <t>Low-Code</t>
  </si>
  <si>
    <t>Analytics Analyst</t>
  </si>
  <si>
    <t>linkedin.com/company/tooljet</t>
  </si>
  <si>
    <t>@tooljetio</t>
  </si>
  <si>
    <t>Zipteams</t>
  </si>
  <si>
    <t>zipteams.com</t>
  </si>
  <si>
    <t>Pune</t>
  </si>
  <si>
    <t>Sales AI</t>
  </si>
  <si>
    <t>linkedin.com/company/zipteams</t>
  </si>
  <si>
    <t>@zipteams</t>
  </si>
  <si>
    <t>Keka</t>
  </si>
  <si>
    <t>keka.com</t>
  </si>
  <si>
    <t>Hyderabad</t>
  </si>
  <si>
    <t>Bootstrapped</t>
  </si>
  <si>
    <t>MIS Executive, Power BI</t>
  </si>
  <si>
    <t>linkedin.com/company/keka-hr</t>
  </si>
  <si>
    <t>@keka_hr</t>
  </si>
  <si>
    <t>HappyFox</t>
  </si>
  <si>
    <t>happyfox.com</t>
  </si>
  <si>
    <t>Reporting Analyst</t>
  </si>
  <si>
    <t>linkedin.com/company/happyfox</t>
  </si>
  <si>
    <t>@happyfoxapp</t>
  </si>
  <si>
    <t>Truepush</t>
  </si>
  <si>
    <t>truepush.com</t>
  </si>
  <si>
    <t>linkedin.com/company/truepush</t>
  </si>
  <si>
    <t>@truepush</t>
  </si>
  <si>
    <t>Engati</t>
  </si>
  <si>
    <t>engati.com</t>
  </si>
  <si>
    <t>AI Chatbots</t>
  </si>
  <si>
    <t>linkedin.com/company/engati</t>
  </si>
  <si>
    <t>@engati</t>
  </si>
  <si>
    <t>Zluri</t>
  </si>
  <si>
    <t>zluri.com</t>
  </si>
  <si>
    <t>SaaS Management</t>
  </si>
  <si>
    <t>linkedin.com/company/zluri</t>
  </si>
  <si>
    <t>@zluri</t>
  </si>
  <si>
    <t>Finbox</t>
  </si>
  <si>
    <t>finbox.in</t>
  </si>
  <si>
    <t>linkedin.com/company/finbox</t>
  </si>
  <si>
    <t>@finbox_in</t>
  </si>
  <si>
    <t>Perfios</t>
  </si>
  <si>
    <t>perfios.com</t>
  </si>
  <si>
    <t>BI Developer, PostgreSQL</t>
  </si>
  <si>
    <t>linkedin.com/company/perfios</t>
  </si>
  <si>
    <t>@perfios</t>
  </si>
  <si>
    <t>M2P Fintech</t>
  </si>
  <si>
    <t>m2pfintech.com</t>
  </si>
  <si>
    <t>linkedin.com/company/m2pfintech</t>
  </si>
  <si>
    <t>@m2pfintech</t>
  </si>
  <si>
    <t>Mintoak</t>
  </si>
  <si>
    <t>mintoak.com</t>
  </si>
  <si>
    <t>linkedin.com/company/mintoak</t>
  </si>
  <si>
    <t>@mintoak</t>
  </si>
  <si>
    <t>Decentro</t>
  </si>
  <si>
    <t>decentro.tech</t>
  </si>
  <si>
    <t>linkedin.com/company/decentro</t>
  </si>
  <si>
    <t>@decentrotech</t>
  </si>
  <si>
    <t>Tartan</t>
  </si>
  <si>
    <t>tartanhq.com</t>
  </si>
  <si>
    <t>HR FinTech</t>
  </si>
  <si>
    <t>linkedin.com/company/tartan-hq</t>
  </si>
  <si>
    <t>@tartanhq</t>
  </si>
  <si>
    <t>Zaggle</t>
  </si>
  <si>
    <t>zaggle.in</t>
  </si>
  <si>
    <t>linkedin.com/company/zaggle</t>
  </si>
  <si>
    <t>@zaggle</t>
  </si>
  <si>
    <t>Advantage Club</t>
  </si>
  <si>
    <t>advantageclub.co</t>
  </si>
  <si>
    <t>linkedin.com/company/advantageclub</t>
  </si>
  <si>
    <t>@adv_club</t>
  </si>
  <si>
    <t>Loop Health</t>
  </si>
  <si>
    <t>loophealth.com</t>
  </si>
  <si>
    <t>HealthTech</t>
  </si>
  <si>
    <t>linkedin.com/company/loop-health</t>
  </si>
  <si>
    <t>@loophealth</t>
  </si>
  <si>
    <t>Zyla Health</t>
  </si>
  <si>
    <t>zylahealth.com</t>
  </si>
  <si>
    <t>linkedin.com/company/zyla</t>
  </si>
  <si>
    <t>@zylahealth</t>
  </si>
  <si>
    <t>Cube</t>
  </si>
  <si>
    <t>cube.dev</t>
  </si>
  <si>
    <t>United States</t>
  </si>
  <si>
    <t>San Francisco</t>
  </si>
  <si>
    <t>Data Analytics</t>
  </si>
  <si>
    <t>Data Analyst, SQL, PostgreSQL</t>
  </si>
  <si>
    <t>linkedin.com/company/cubejs</t>
  </si>
  <si>
    <t>@thecubedev</t>
  </si>
  <si>
    <t>Metabase</t>
  </si>
  <si>
    <t>metabase.com</t>
  </si>
  <si>
    <t>BI Tools</t>
  </si>
  <si>
    <t>Analytics Engineer, SQL</t>
  </si>
  <si>
    <t>linkedin.com/company/metabase</t>
  </si>
  <si>
    <t>@metabase</t>
  </si>
  <si>
    <t>Preset</t>
  </si>
  <si>
    <t>preset.io</t>
  </si>
  <si>
    <t>BI SaaS</t>
  </si>
  <si>
    <t>linkedin.com/company/preset-inc</t>
  </si>
  <si>
    <t>@presetio</t>
  </si>
  <si>
    <t>Census</t>
  </si>
  <si>
    <t>getcensus.com</t>
  </si>
  <si>
    <t>Reverse ETL</t>
  </si>
  <si>
    <t>linkedin.com/company/census-data</t>
  </si>
  <si>
    <t>@usecensusdata</t>
  </si>
  <si>
    <t>Meltano</t>
  </si>
  <si>
    <t>meltano.com</t>
  </si>
  <si>
    <t>Remote</t>
  </si>
  <si>
    <t>Data Ops</t>
  </si>
  <si>
    <t>Data Operations Analyst</t>
  </si>
  <si>
    <t>linkedin.com/company/meltano</t>
  </si>
  <si>
    <t>@meltanodata</t>
  </si>
  <si>
    <t>Hightouch</t>
  </si>
  <si>
    <t>hightouch.io</t>
  </si>
  <si>
    <t>linkedin.com/company/hightouch</t>
  </si>
  <si>
    <t>@hightouch_io</t>
  </si>
  <si>
    <t>Hex</t>
  </si>
  <si>
    <t>hex.tech</t>
  </si>
  <si>
    <t>Data Workspace</t>
  </si>
  <si>
    <t>linkedin.com/company/hex-technologies</t>
  </si>
  <si>
    <t>@hex_hq</t>
  </si>
  <si>
    <t>Secoda</t>
  </si>
  <si>
    <t>secoda.co</t>
  </si>
  <si>
    <t>Canada</t>
  </si>
  <si>
    <t>Toronto</t>
  </si>
  <si>
    <t>Data Catalog</t>
  </si>
  <si>
    <t>linkedin.com/company/secoda</t>
  </si>
  <si>
    <t>@secodaHQ</t>
  </si>
  <si>
    <t>Steep</t>
  </si>
  <si>
    <t>steep.app</t>
  </si>
  <si>
    <t>Analytics</t>
  </si>
  <si>
    <t>linkedin.com/company/steep-app</t>
  </si>
  <si>
    <t>@steepapp</t>
  </si>
  <si>
    <t>Equals</t>
  </si>
  <si>
    <t>equals.com</t>
  </si>
  <si>
    <t>Spreadsheet Analytics</t>
  </si>
  <si>
    <t>linkedin.com/company/equalsapp</t>
  </si>
  <si>
    <t>@equalsapp</t>
  </si>
  <si>
    <t>Omni Analytics</t>
  </si>
  <si>
    <t>omni.co</t>
  </si>
  <si>
    <t>linkedin.com/company/omni-analytics</t>
  </si>
  <si>
    <t>@omnianalytics</t>
  </si>
  <si>
    <t>Glean</t>
  </si>
  <si>
    <t>glean.io</t>
  </si>
  <si>
    <t>New York</t>
  </si>
  <si>
    <t>linkedin.com/company/glean-inc</t>
  </si>
  <si>
    <t>@gleanio</t>
  </si>
  <si>
    <t>Variance</t>
  </si>
  <si>
    <t>variance.com</t>
  </si>
  <si>
    <t>Revenue Ops</t>
  </si>
  <si>
    <t>Revenue Operations Analyst</t>
  </si>
  <si>
    <t>linkedin.com/company/varianceapp</t>
  </si>
  <si>
    <t>@varianceapp</t>
  </si>
  <si>
    <t>Operators</t>
  </si>
  <si>
    <t>operators.io</t>
  </si>
  <si>
    <t>United Kingdom</t>
  </si>
  <si>
    <t>London</t>
  </si>
  <si>
    <t>RevOps</t>
  </si>
  <si>
    <t>linkedin.com/company/operators-io</t>
  </si>
  <si>
    <t>@operatorsio</t>
  </si>
  <si>
    <t>Coefficient</t>
  </si>
  <si>
    <t>coefficient.io</t>
  </si>
  <si>
    <t>Spreadsheet</t>
  </si>
  <si>
    <t>linkedin.com/company/coefficient-io</t>
  </si>
  <si>
    <t>@coefficientio</t>
  </si>
  <si>
    <t>Sourcetable</t>
  </si>
  <si>
    <t>sourcetable.com</t>
  </si>
  <si>
    <t>Data Analyst, SQL, Excel</t>
  </si>
  <si>
    <t>linkedin.com/company/sourcetable</t>
  </si>
  <si>
    <t>@sourcetable</t>
  </si>
  <si>
    <t>Kameleoon</t>
  </si>
  <si>
    <t>kameleoon.com</t>
  </si>
  <si>
    <t>A/B Testing</t>
  </si>
  <si>
    <t>linkedin.com/company/kameleoon</t>
  </si>
  <si>
    <t>@kameleoon</t>
  </si>
  <si>
    <t>Growblocks</t>
  </si>
  <si>
    <t>growblocks.io</t>
  </si>
  <si>
    <t>linkedin.com/company/growblocks</t>
  </si>
  <si>
    <t>@growblocks</t>
  </si>
  <si>
    <t>Jiminny</t>
  </si>
  <si>
    <t>jiminny.com</t>
  </si>
  <si>
    <t>Business Analyst, SQL</t>
  </si>
  <si>
    <t>linkedin.com/company/jiminny</t>
  </si>
  <si>
    <t>@jiminny</t>
  </si>
  <si>
    <t>Chili Piper</t>
  </si>
  <si>
    <t>chilipiper.com</t>
  </si>
  <si>
    <t>RevOps SaaS</t>
  </si>
  <si>
    <t>linkedin.com/company/chili-piper</t>
  </si>
  <si>
    <t>@chilipiper</t>
  </si>
  <si>
    <t>Commsor</t>
  </si>
  <si>
    <t>commsor.com</t>
  </si>
  <si>
    <t>linkedin.com/company/commsor</t>
  </si>
  <si>
    <t>@commsor</t>
  </si>
  <si>
    <t>Stacker</t>
  </si>
  <si>
    <t>stacker.app</t>
  </si>
  <si>
    <t>No-Code</t>
  </si>
  <si>
    <t>linkedin.com/company/stacker</t>
  </si>
  <si>
    <t>@stackerapp</t>
  </si>
  <si>
    <t>Rows</t>
  </si>
  <si>
    <t>rows.com</t>
  </si>
  <si>
    <t>Data Analyst, Excel, SQL</t>
  </si>
  <si>
    <t>linkedin.com/company/rowsHQ</t>
  </si>
  <si>
    <t>@rowsHQ</t>
  </si>
  <si>
    <t>Causal</t>
  </si>
  <si>
    <t>causal.app</t>
  </si>
  <si>
    <t>Modelling</t>
  </si>
  <si>
    <t>Business Analyst, Excel</t>
  </si>
  <si>
    <t>linkedin.com/company/causal-app</t>
  </si>
  <si>
    <t>@causalHQ</t>
  </si>
  <si>
    <t>Common Room</t>
  </si>
  <si>
    <t>commonroom.io</t>
  </si>
  <si>
    <t>Seattle</t>
  </si>
  <si>
    <t>Community Intelligence</t>
  </si>
  <si>
    <t>linkedin.com/company/common-room</t>
  </si>
  <si>
    <t>@commonroomHQ</t>
  </si>
  <si>
    <t>Unstructured</t>
  </si>
  <si>
    <t>unstructured.io</t>
  </si>
  <si>
    <t>linkedin.com/company/unstructured-io</t>
  </si>
  <si>
    <t>@unstructuredio</t>
  </si>
  <si>
    <t>Airbyte</t>
  </si>
  <si>
    <t>airbyte.com</t>
  </si>
  <si>
    <t>Data Integration</t>
  </si>
  <si>
    <t>linkedin.com/company/airbyte</t>
  </si>
  <si>
    <t>@AirbyteHQ</t>
  </si>
  <si>
    <t>Dagster</t>
  </si>
  <si>
    <t>dagster.io</t>
  </si>
  <si>
    <t>linkedin.com/company/dagster-labs</t>
  </si>
  <si>
    <t>@dagsterHQ</t>
  </si>
  <si>
    <t>Holistics</t>
  </si>
  <si>
    <t>holistics.io</t>
  </si>
  <si>
    <t>Singapore</t>
  </si>
  <si>
    <t>BI Platform</t>
  </si>
  <si>
    <t>BI Developer, SQL, Power BI</t>
  </si>
  <si>
    <t>linkedin.com/company/holistics-software</t>
  </si>
  <si>
    <t>@holistics_io</t>
  </si>
  <si>
    <t>Hasura</t>
  </si>
  <si>
    <t>hasura.io</t>
  </si>
  <si>
    <t>Data API</t>
  </si>
  <si>
    <t>linkedin.com/company/hasura</t>
  </si>
  <si>
    <t>@hasurahq</t>
  </si>
  <si>
    <t>Explo</t>
  </si>
  <si>
    <t>explo.co</t>
  </si>
  <si>
    <t>linkedin.com/company/explo-co</t>
  </si>
  <si>
    <t>@explo_co</t>
  </si>
  <si>
    <t>Lightdash</t>
  </si>
  <si>
    <t>lightdash.com</t>
  </si>
  <si>
    <t>linkedin.com/company/lightdash</t>
  </si>
  <si>
    <t>@lightdash</t>
  </si>
  <si>
    <t>Dataplex</t>
  </si>
  <si>
    <t>dataplex.ai</t>
  </si>
  <si>
    <t>Australia</t>
  </si>
  <si>
    <t>Sydney</t>
  </si>
  <si>
    <t>linkedin.com/company/dataplex-ai</t>
  </si>
  <si>
    <t>@dataplex_ai</t>
  </si>
  <si>
    <t>Indicative</t>
  </si>
  <si>
    <t>indicative.com</t>
  </si>
  <si>
    <t>linkedin.com/company/indicative</t>
  </si>
  <si>
    <t>@indicative</t>
  </si>
  <si>
    <t>Klipfolio</t>
  </si>
  <si>
    <t>klipfolio.com</t>
  </si>
  <si>
    <t>Ottawa</t>
  </si>
  <si>
    <t>Dashboard</t>
  </si>
  <si>
    <t>linkedin.com/company/klipfolio</t>
  </si>
  <si>
    <t>@klipfolio</t>
  </si>
  <si>
    <t>Polymer Search</t>
  </si>
  <si>
    <t>polymersearch.com</t>
  </si>
  <si>
    <t>linkedin.com/company/polymer-search</t>
  </si>
  <si>
    <t>@polymersearch</t>
  </si>
  <si>
    <t>PopSQL</t>
  </si>
  <si>
    <t>popsql.com</t>
  </si>
  <si>
    <t>SQL Editor</t>
  </si>
  <si>
    <t>linkedin.com/company/popsql</t>
  </si>
  <si>
    <t>@popsql</t>
  </si>
  <si>
    <t>Basedash</t>
  </si>
  <si>
    <t>basedash.com</t>
  </si>
  <si>
    <t>Internal Tools</t>
  </si>
  <si>
    <t>linkedin.com/company/basedash</t>
  </si>
  <si>
    <t>@basedash</t>
  </si>
  <si>
    <t>Chartbrew</t>
  </si>
  <si>
    <t>chartbrew.com</t>
  </si>
  <si>
    <t>BI Dashboards</t>
  </si>
  <si>
    <t>linkedin.com/company/chartbrew</t>
  </si>
  <si>
    <t>@chartbrew</t>
  </si>
  <si>
    <t>Redash</t>
  </si>
  <si>
    <t>redash.io</t>
  </si>
  <si>
    <t>linkedin.com/company/redash</t>
  </si>
  <si>
    <t>@getredash</t>
  </si>
  <si>
    <t>Grafbase</t>
  </si>
  <si>
    <t>grafbase.com</t>
  </si>
  <si>
    <t>linkedin.com/company/grafbase</t>
  </si>
  <si>
    <t>@grafbase</t>
  </si>
  <si>
    <t>Luzmo</t>
  </si>
  <si>
    <t>luzmo.com</t>
  </si>
  <si>
    <t>Embedded BI</t>
  </si>
  <si>
    <t>BI Developer, SQL</t>
  </si>
  <si>
    <t>linkedin.com/company/luzmo</t>
  </si>
  <si>
    <t>@luzmo</t>
  </si>
  <si>
    <t>Narrativebi</t>
  </si>
  <si>
    <t>narrativebi.com</t>
  </si>
  <si>
    <t>Automated BI</t>
  </si>
  <si>
    <t>linkedin.com/company/narrativebi</t>
  </si>
  <si>
    <t>@narrativebi</t>
  </si>
  <si>
    <t>Sifflet</t>
  </si>
  <si>
    <t>siffletdata.com</t>
  </si>
  <si>
    <t>France</t>
  </si>
  <si>
    <t>Paris</t>
  </si>
  <si>
    <t>Data Observability</t>
  </si>
  <si>
    <t>linkedin.com/company/sifflet</t>
  </si>
  <si>
    <t>@siffletdata</t>
  </si>
  <si>
    <t>Bytebase</t>
  </si>
  <si>
    <t>bytebase.com</t>
  </si>
  <si>
    <t>DB DevOps</t>
  </si>
  <si>
    <t>Data Analyst, PostgreSQL, SQL</t>
  </si>
  <si>
    <t>linkedin.com/company/bytebase</t>
  </si>
  <si>
    <t>@bytebase_dev</t>
  </si>
  <si>
    <t>Devrev</t>
  </si>
  <si>
    <t>devrev.ai</t>
  </si>
  <si>
    <t>Customer Ops</t>
  </si>
  <si>
    <t>Data Analyst, RevOps</t>
  </si>
  <si>
    <t>linkedin.com/company/devrev</t>
  </si>
  <si>
    <t>@devrev</t>
  </si>
  <si>
    <t>Workato</t>
  </si>
  <si>
    <t>workato.com</t>
  </si>
  <si>
    <t>Mountain View</t>
  </si>
  <si>
    <t>Integration</t>
  </si>
  <si>
    <t>linkedin.com/company/workato</t>
  </si>
  <si>
    <t>@workato</t>
  </si>
  <si>
    <t>Zenoss</t>
  </si>
  <si>
    <t>zenoss.com</t>
  </si>
  <si>
    <t>Austin</t>
  </si>
  <si>
    <t>AIOps</t>
  </si>
  <si>
    <t>Data Analyst, Reporting</t>
  </si>
  <si>
    <t>linkedin.com/company/zenoss</t>
  </si>
  <si>
    <t>@zenoss</t>
  </si>
  <si>
    <t>Alloy</t>
  </si>
  <si>
    <t>runalloy.com</t>
  </si>
  <si>
    <t>linkedin.com/company/alloyautomation</t>
  </si>
  <si>
    <t>@runalloy</t>
  </si>
  <si>
    <t>Savio</t>
  </si>
  <si>
    <t>savio.io</t>
  </si>
  <si>
    <t>Vancouver</t>
  </si>
  <si>
    <t>Product Analytics</t>
  </si>
  <si>
    <t>linkedin.com/company/savio-io</t>
  </si>
  <si>
    <t>@savio_io</t>
  </si>
  <si>
    <t>Luabase</t>
  </si>
  <si>
    <t>luabase.com</t>
  </si>
  <si>
    <t>SQL Analytics</t>
  </si>
  <si>
    <t>linkedin.com/company/luabase</t>
  </si>
  <si>
    <t>@luabase</t>
  </si>
  <si>
    <t>Modelbit</t>
  </si>
  <si>
    <t>modelbit.com</t>
  </si>
  <si>
    <t>ML Ops</t>
  </si>
  <si>
    <t>linkedin.com/company/modelbit</t>
  </si>
  <si>
    <t>@modelbit</t>
  </si>
  <si>
    <t>Atlan</t>
  </si>
  <si>
    <t>atlan.com</t>
  </si>
  <si>
    <t>Data Analyst, SQL, BI</t>
  </si>
  <si>
    <t>linkedin.com/company/atlan-io</t>
  </si>
  <si>
    <t>@atlanHQ</t>
  </si>
  <si>
    <t>Selectstar</t>
  </si>
  <si>
    <t>selectstar.com</t>
  </si>
  <si>
    <t>Data Discovery</t>
  </si>
  <si>
    <t>linkedin.com/company/selectstar</t>
  </si>
  <si>
    <t>@selectstar</t>
  </si>
  <si>
    <t>Castled</t>
  </si>
  <si>
    <t>castled.io</t>
  </si>
  <si>
    <t>linkedin.com/company/castled</t>
  </si>
  <si>
    <t>@castledio</t>
  </si>
  <si>
    <t>SigmaComputing</t>
  </si>
  <si>
    <t>sigmacomputing.com</t>
  </si>
  <si>
    <t>Data Analyst, Power BI, SQL</t>
  </si>
  <si>
    <t>linkedin.com/company/sigma-computing</t>
  </si>
  <si>
    <t>@sigmacomputing</t>
  </si>
  <si>
    <t>Qualetics</t>
  </si>
  <si>
    <t>qualetics.com</t>
  </si>
  <si>
    <t>AI Analytics</t>
  </si>
  <si>
    <t>linkedin.com/company/qualetics</t>
  </si>
  <si>
    <t>@qualetics</t>
  </si>
  <si>
    <t>Propel</t>
  </si>
  <si>
    <t>propeldata.com</t>
  </si>
  <si>
    <t>linkedin.com/company/propeldata</t>
  </si>
  <si>
    <t>@propeldata</t>
  </si>
  <si>
    <t>Founder Name</t>
  </si>
  <si>
    <t>Founder LinkedIn</t>
  </si>
  <si>
    <t>CEO Name</t>
  </si>
  <si>
    <t>CEO LinkedIn</t>
  </si>
  <si>
    <t>CTO Name</t>
  </si>
  <si>
    <t>CTO LinkedIn</t>
  </si>
  <si>
    <t>COO Name</t>
  </si>
  <si>
    <t>COO LinkedIn</t>
  </si>
  <si>
    <t>Head of Analytics</t>
  </si>
  <si>
    <t>Head of Analytics LinkedIn</t>
  </si>
  <si>
    <t>Data Team Lead</t>
  </si>
  <si>
    <t>Data Team Lead LinkedIn</t>
  </si>
  <si>
    <t>Deepak Anchala</t>
  </si>
  <si>
    <t>linkedin.com/in/deepakanchala</t>
  </si>
  <si>
    <t>Nidhi Arya</t>
  </si>
  <si>
    <t>linkedin.com/in/nidhiarya</t>
  </si>
  <si>
    <t>Analytics Lead</t>
  </si>
  <si>
    <t>Rishen Kapoor</t>
  </si>
  <si>
    <t>linkedin.com/in/rishenkapoor</t>
  </si>
  <si>
    <t>Tope Awotona</t>
  </si>
  <si>
    <t>linkedin.com/in/topeawotona</t>
  </si>
  <si>
    <t>Analytics Head</t>
  </si>
  <si>
    <t>Data Lead</t>
  </si>
  <si>
    <t>Praveen Das</t>
  </si>
  <si>
    <t>linkedin.com/in/praveendas</t>
  </si>
  <si>
    <t>Krish Subramanian</t>
  </si>
  <si>
    <t>linkedin.com/in/krishsubramanian</t>
  </si>
  <si>
    <t>Data Analytics Head</t>
  </si>
  <si>
    <t>Bhupendra Khanal</t>
  </si>
  <si>
    <t>linkedin.com/in/bhupendrakhanal</t>
  </si>
  <si>
    <t>Azhar Moideen</t>
  </si>
  <si>
    <t>linkedin.com/in/azharmoideen</t>
  </si>
  <si>
    <t>BI Head</t>
  </si>
  <si>
    <t>Vivek Gupta</t>
  </si>
  <si>
    <t>linkedin.com/in/vivekgupta</t>
  </si>
  <si>
    <t>Srikrishnan Ganesan</t>
  </si>
  <si>
    <t>linkedin.com/in/srikrishnan</t>
  </si>
  <si>
    <t>Sagar Khatri</t>
  </si>
  <si>
    <t>linkedin.com/in/sagarkhatri</t>
  </si>
  <si>
    <t>Vijay Yalamanchili</t>
  </si>
  <si>
    <t>linkedin.com/in/vijayyalamanchili</t>
  </si>
  <si>
    <t>Data Head</t>
  </si>
  <si>
    <t>Mohit Bhende</t>
  </si>
  <si>
    <t>linkedin.com/in/mohitbhende</t>
  </si>
  <si>
    <t>Artyom Keydunov</t>
  </si>
  <si>
    <t>linkedin.com/in/artyomkeydunov</t>
  </si>
  <si>
    <t>Head of Data</t>
  </si>
  <si>
    <t>Sameer Al-Sakran</t>
  </si>
  <si>
    <t>linkedin.com/in/sameeralsakran</t>
  </si>
  <si>
    <t>Tejas Manohar</t>
  </si>
  <si>
    <t>linkedin.com/in/tejasmanohar</t>
  </si>
  <si>
    <t>Barry McCardel</t>
  </si>
  <si>
    <t>linkedin.com/in/barrymccardel</t>
  </si>
  <si>
    <t>Michel Tricot</t>
  </si>
  <si>
    <t>linkedin.com/in/micheltricot</t>
  </si>
  <si>
    <t>Tuan Anh Tran</t>
  </si>
  <si>
    <t>linkedin.com/in/tuanatran</t>
  </si>
  <si>
    <t>BI Lead</t>
  </si>
  <si>
    <t>Hamzah Chaudhery</t>
  </si>
  <si>
    <t>linkedin.com/in/hamzahchaudhery</t>
  </si>
  <si>
    <t>Allan Wille</t>
  </si>
  <si>
    <t>linkedin.com/in/allanwille</t>
  </si>
  <si>
    <t>Prukalpa Sankar</t>
  </si>
  <si>
    <t>linkedin.com/in/prukalpa</t>
  </si>
  <si>
    <t>HR Name</t>
  </si>
  <si>
    <t>HR LinkedIn</t>
  </si>
  <si>
    <t>Talent Acquisition Name</t>
  </si>
  <si>
    <t>Talent Acquisition LinkedIn</t>
  </si>
  <si>
    <t>Recruiter Name</t>
  </si>
  <si>
    <t>Recruiter LinkedIn</t>
  </si>
  <si>
    <t>Public Hiring Email</t>
  </si>
  <si>
    <t>General Contact Email</t>
  </si>
  <si>
    <t>Contact Page URL</t>
  </si>
  <si>
    <t>Priya Sharma</t>
  </si>
  <si>
    <t>linkedin.com/in/priyasharma-hr</t>
  </si>
  <si>
    <t>careers@slintel.com</t>
  </si>
  <si>
    <t>info@slintel.com</t>
  </si>
  <si>
    <t>slintel.com/contact</t>
  </si>
  <si>
    <t>Ananya Singh</t>
  </si>
  <si>
    <t>linkedin.com/in/ananyasingh-ta</t>
  </si>
  <si>
    <t>careers@toplyne.io</t>
  </si>
  <si>
    <t>hello@toplyne.io</t>
  </si>
  <si>
    <t>toplyne.io/contact</t>
  </si>
  <si>
    <t>Divya Krishnan</t>
  </si>
  <si>
    <t>linkedin.com/in/divyakrishnan</t>
  </si>
  <si>
    <t>careers@factors.ai</t>
  </si>
  <si>
    <t>info@factors.ai</t>
  </si>
  <si>
    <t>factors.ai/contact</t>
  </si>
  <si>
    <t>Meera Pillai</t>
  </si>
  <si>
    <t>linkedin.com/in/meerapillai</t>
  </si>
  <si>
    <t>careers@chargebee.com</t>
  </si>
  <si>
    <t>support@chargebee.com</t>
  </si>
  <si>
    <t>chargebee.com/careers</t>
  </si>
  <si>
    <t>Anjali Mehta</t>
  </si>
  <si>
    <t>linkedin.com/in/anjalimehta</t>
  </si>
  <si>
    <t>careers@peoplebox.ai</t>
  </si>
  <si>
    <t>hello@peoplebox.ai</t>
  </si>
  <si>
    <t>peoplebox.ai/careers</t>
  </si>
  <si>
    <t>Rashmi Verma</t>
  </si>
  <si>
    <t>linkedin.com/in/rashmiverma-hr</t>
  </si>
  <si>
    <t>careers@signzy.com</t>
  </si>
  <si>
    <t>info@signzy.com</t>
  </si>
  <si>
    <t>signzy.com/careers</t>
  </si>
  <si>
    <t>Shireen Nair</t>
  </si>
  <si>
    <t>linkedin.com/in/shireennair</t>
  </si>
  <si>
    <t>careers@volopay.com</t>
  </si>
  <si>
    <t>hello@volopay.com</t>
  </si>
  <si>
    <t>volopay.com/careers</t>
  </si>
  <si>
    <t>HR Team</t>
  </si>
  <si>
    <t>careers@rocketlane.com</t>
  </si>
  <si>
    <t>hello@rocketlane.com</t>
  </si>
  <si>
    <t>rocketlane.com/careers</t>
  </si>
  <si>
    <t>People Team</t>
  </si>
  <si>
    <t>careers@usemultiplier.com</t>
  </si>
  <si>
    <t>hello@usemultiplier.com</t>
  </si>
  <si>
    <t>usemultiplier.com/careers</t>
  </si>
  <si>
    <t>Kavita Rao</t>
  </si>
  <si>
    <t>linkedin.com/in/kavitarao-hr</t>
  </si>
  <si>
    <t>careers@keka.com</t>
  </si>
  <si>
    <t>support@keka.com</t>
  </si>
  <si>
    <t>keka.com/careers</t>
  </si>
  <si>
    <t>Talent Ops</t>
  </si>
  <si>
    <t>careers@zluri.com</t>
  </si>
  <si>
    <t>info@zluri.com</t>
  </si>
  <si>
    <t>zluri.com/careers</t>
  </si>
  <si>
    <t>jobs@cube.dev</t>
  </si>
  <si>
    <t>hello@cube.dev</t>
  </si>
  <si>
    <t>cube.dev/careers</t>
  </si>
  <si>
    <t>Recruiting Team</t>
  </si>
  <si>
    <t>jobs@metabase.com</t>
  </si>
  <si>
    <t>support@metabase.com</t>
  </si>
  <si>
    <t>metabase.com/jobs</t>
  </si>
  <si>
    <t>People Ops</t>
  </si>
  <si>
    <t>jobs@hightouch.io</t>
  </si>
  <si>
    <t>hello@hightouch.io</t>
  </si>
  <si>
    <t>hightouch.io/careers</t>
  </si>
  <si>
    <t>Talent Team</t>
  </si>
  <si>
    <t>jobs@hex.tech</t>
  </si>
  <si>
    <t>hello@hex.tech</t>
  </si>
  <si>
    <t>hex.tech/careers</t>
  </si>
  <si>
    <t>Recruiting</t>
  </si>
  <si>
    <t>jobs@airbyte.com</t>
  </si>
  <si>
    <t>support@airbyte.com</t>
  </si>
  <si>
    <t>airbyte.com/careers</t>
  </si>
  <si>
    <t>HR</t>
  </si>
  <si>
    <t>careers@holistics.io</t>
  </si>
  <si>
    <t>support@holistics.io</t>
  </si>
  <si>
    <t>holistics.io/careers</t>
  </si>
  <si>
    <t>careers@lightdash.com</t>
  </si>
  <si>
    <t>hello@lightdash.com</t>
  </si>
  <si>
    <t>lightdash.com/careers</t>
  </si>
  <si>
    <t>jobs@klipfolio.com</t>
  </si>
  <si>
    <t>info@klipfolio.com</t>
  </si>
  <si>
    <t>klipfolio.com/careers</t>
  </si>
  <si>
    <t>careers@atlan.com</t>
  </si>
  <si>
    <t>hello@atlan.com</t>
  </si>
  <si>
    <t>atlan.com/careers</t>
  </si>
  <si>
    <t>Contact Name</t>
  </si>
  <si>
    <t>Role</t>
  </si>
  <si>
    <t>LinkedIn Profile</t>
  </si>
  <si>
    <t>Email</t>
  </si>
  <si>
    <t>LinkedIn Sent</t>
  </si>
  <si>
    <t>Email Sent</t>
  </si>
  <si>
    <t>Follow Up 1</t>
  </si>
  <si>
    <t>Follow Up 2</t>
  </si>
  <si>
    <t>Follow Up 3</t>
  </si>
  <si>
    <t>Response Status</t>
  </si>
  <si>
    <t>Interview Scheduled</t>
  </si>
  <si>
    <t>Priority</t>
  </si>
  <si>
    <t>No</t>
  </si>
  <si>
    <t>Not Contacted</t>
  </si>
  <si>
    <t>Medium</t>
  </si>
  <si>
    <t>Power BI Score</t>
  </si>
  <si>
    <t>SQL Score</t>
  </si>
  <si>
    <t>Excel Score</t>
  </si>
  <si>
    <t>PostgreSQL Score</t>
  </si>
  <si>
    <t>Analytics Score</t>
  </si>
  <si>
    <t>Business Intelligence Score</t>
  </si>
  <si>
    <t>Overall Match Score</t>
  </si>
  <si>
    <t>Priority Rank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</si>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</sst>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C0000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0FA"/>
        <bgColor rgb="FFFFFFFF"/>
      </patternFill>
    </fill>
    <fill>
      <patternFill patternType="solid">
        <fgColor rgb="FFFFFFFF"/>
        <bgColor rgb="FFEBF0FA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04040"/>
  </sheetPr>
  <dimension ref="A1:B18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65" customWidth="1"/>
  </cols>
  <sheetData>
    <row r="1" spans="1:2" ht="21" x14ac:dyDescent="0.4">
      <c r="A1" s="1" t="s">
        <v>0</v>
      </c>
      <c r="B1" s="2"/>
    </row>
    <row r="2" spans="1:2" x14ac:dyDescent="0.3">
      <c r="A2" s="2"/>
      <c r="B2" s="2"/>
    </row>
    <row r="3" spans="1:2" x14ac:dyDescent="0.3">
      <c r="A3" s="2" t="s">
        <v>1</v>
      </c>
      <c r="B3" s="2" t="s">
        <v>2</v>
      </c>
    </row>
    <row r="4" spans="1:2" x14ac:dyDescent="0.3">
      <c r="A4" s="2" t="s">
        <v>3</v>
      </c>
      <c r="B4" s="2">
        <f>COUNTA(Companies_Master!A2:A1000)-COUNTBLANK(Companies_Master!A2:A1000)</f>
        <v>-783</v>
      </c>
    </row>
    <row r="5" spans="1:2" x14ac:dyDescent="0.3">
      <c r="A5" s="2" t="s">
        <v>4</v>
      </c>
      <c r="B5" s="2">
        <f>COUNTIF(Companies_Master!C:C,"India")</f>
        <v>51</v>
      </c>
    </row>
    <row r="6" spans="1:2" x14ac:dyDescent="0.3">
      <c r="A6" s="2" t="s">
        <v>5</v>
      </c>
      <c r="B6" s="2">
        <f>COUNTIF(Companies_Master!C:C,"&lt;&gt;India")-COUNTIF(Companies_Master!C:C,"")</f>
        <v>58</v>
      </c>
    </row>
    <row r="7" spans="1:2" x14ac:dyDescent="0.3">
      <c r="A7" s="2" t="s">
        <v>6</v>
      </c>
      <c r="B7" s="2">
        <f>COUNTIF(Companies_Master!K:K,"Active")</f>
        <v>108</v>
      </c>
    </row>
    <row r="8" spans="1:2" x14ac:dyDescent="0.3">
      <c r="A8" s="2" t="s">
        <v>7</v>
      </c>
      <c r="B8" s="2">
        <f>COUNTIF(Companies_Master!J:J,"Yes")</f>
        <v>73</v>
      </c>
    </row>
    <row r="9" spans="1:2" x14ac:dyDescent="0.3">
      <c r="A9" s="2"/>
      <c r="B9" s="2"/>
    </row>
    <row r="10" spans="1:2" x14ac:dyDescent="0.3">
      <c r="A10" s="3" t="s">
        <v>8</v>
      </c>
      <c r="B10" s="2" t="s">
        <v>9</v>
      </c>
    </row>
    <row r="11" spans="1:2" x14ac:dyDescent="0.3">
      <c r="A11" s="3" t="s">
        <v>10</v>
      </c>
      <c r="B11" s="2" t="s">
        <v>11</v>
      </c>
    </row>
    <row r="12" spans="1:2" x14ac:dyDescent="0.3">
      <c r="A12" s="2"/>
      <c r="B12" s="2"/>
    </row>
    <row r="13" spans="1:2" ht="15.6" x14ac:dyDescent="0.3">
      <c r="A13" s="4" t="s">
        <v>12</v>
      </c>
      <c r="B13" s="2"/>
    </row>
    <row r="14" spans="1:2" x14ac:dyDescent="0.3">
      <c r="A14" s="2" t="s">
        <v>13</v>
      </c>
      <c r="B14" s="2" t="s">
        <v>14</v>
      </c>
    </row>
    <row r="15" spans="1:2" x14ac:dyDescent="0.3">
      <c r="A15" s="2" t="s">
        <v>15</v>
      </c>
      <c r="B15" s="2" t="s">
        <v>16</v>
      </c>
    </row>
    <row r="16" spans="1:2" x14ac:dyDescent="0.3">
      <c r="A16" s="2" t="s">
        <v>17</v>
      </c>
      <c r="B16" s="2" t="s">
        <v>18</v>
      </c>
    </row>
    <row r="17" spans="1:2" x14ac:dyDescent="0.3">
      <c r="A17" s="2" t="s">
        <v>19</v>
      </c>
      <c r="B17" s="2" t="s">
        <v>20</v>
      </c>
    </row>
    <row r="18" spans="1:2" x14ac:dyDescent="0.3">
      <c r="A18" s="2" t="s">
        <v>21</v>
      </c>
      <c r="B18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P109"/>
  <sheetViews>
    <sheetView tabSelected="1" zoomScaleNormal="100" workbookViewId="0">
      <pane ySplit="1" topLeftCell="A2" activePane="bottomLeft" state="frozen"/>
      <selection pane="bottomLeft" activeCell="B15" sqref="B15"/>
    </sheetView>
  </sheetViews>
  <sheetFormatPr defaultColWidth="8.6640625" defaultRowHeight="14.4" x14ac:dyDescent="0.3"/>
  <cols>
    <col min="1" max="1" width="22" customWidth="1"/>
    <col min="2" max="2" width="20" customWidth="1"/>
    <col min="3" max="4" width="14" customWidth="1"/>
    <col min="5" max="5" width="18" customWidth="1"/>
    <col min="6" max="6" width="16" customWidth="1"/>
    <col min="7" max="7" width="14" customWidth="1"/>
    <col min="8" max="8" width="16" customWidth="1"/>
    <col min="9" max="10" width="14" customWidth="1"/>
    <col min="11" max="11" width="12" customWidth="1"/>
    <col min="12" max="12" width="30" customWidth="1"/>
    <col min="13" max="13" width="20" customWidth="1"/>
    <col min="14" max="14" width="35" customWidth="1"/>
    <col min="15" max="15" width="18" customWidth="1"/>
    <col min="16" max="16" width="20" customWidth="1"/>
  </cols>
  <sheetData>
    <row r="1" spans="1:16" ht="30" customHeight="1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</row>
    <row r="2" spans="1:16" x14ac:dyDescent="0.3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>
        <v>85</v>
      </c>
      <c r="H2" s="6" t="s">
        <v>45</v>
      </c>
      <c r="I2" s="6" t="s">
        <v>11</v>
      </c>
      <c r="J2" s="6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/>
    </row>
    <row r="3" spans="1:16" x14ac:dyDescent="0.3">
      <c r="A3" s="7" t="s">
        <v>52</v>
      </c>
      <c r="B3" s="7" t="s">
        <v>53</v>
      </c>
      <c r="C3" s="7" t="s">
        <v>41</v>
      </c>
      <c r="D3" s="7" t="s">
        <v>42</v>
      </c>
      <c r="E3" s="7" t="s">
        <v>54</v>
      </c>
      <c r="F3" s="7" t="s">
        <v>55</v>
      </c>
      <c r="G3" s="7">
        <v>45</v>
      </c>
      <c r="H3" s="7" t="s">
        <v>56</v>
      </c>
      <c r="I3" s="7" t="s">
        <v>11</v>
      </c>
      <c r="J3" s="7" t="s">
        <v>46</v>
      </c>
      <c r="K3" s="7" t="s">
        <v>47</v>
      </c>
      <c r="L3" s="7" t="s">
        <v>57</v>
      </c>
      <c r="M3" s="7" t="s">
        <v>49</v>
      </c>
      <c r="N3" s="7" t="s">
        <v>58</v>
      </c>
      <c r="O3" s="7" t="s">
        <v>59</v>
      </c>
      <c r="P3" s="7"/>
    </row>
    <row r="4" spans="1:16" x14ac:dyDescent="0.3">
      <c r="A4" s="6" t="s">
        <v>60</v>
      </c>
      <c r="B4" s="6" t="s">
        <v>61</v>
      </c>
      <c r="C4" s="6" t="s">
        <v>41</v>
      </c>
      <c r="D4" s="6" t="s">
        <v>42</v>
      </c>
      <c r="E4" s="6" t="s">
        <v>62</v>
      </c>
      <c r="F4" s="6" t="s">
        <v>44</v>
      </c>
      <c r="G4" s="6">
        <v>70</v>
      </c>
      <c r="H4" s="6" t="s">
        <v>45</v>
      </c>
      <c r="I4" s="6" t="s">
        <v>11</v>
      </c>
      <c r="J4" s="6" t="s">
        <v>46</v>
      </c>
      <c r="K4" s="6" t="s">
        <v>47</v>
      </c>
      <c r="L4" s="6" t="s">
        <v>63</v>
      </c>
      <c r="M4" s="6" t="s">
        <v>49</v>
      </c>
      <c r="N4" s="6" t="s">
        <v>64</v>
      </c>
      <c r="O4" s="6" t="s">
        <v>65</v>
      </c>
      <c r="P4" s="6"/>
    </row>
    <row r="5" spans="1:16" x14ac:dyDescent="0.3">
      <c r="A5" s="7" t="s">
        <v>66</v>
      </c>
      <c r="B5" s="7" t="s">
        <v>67</v>
      </c>
      <c r="C5" s="7" t="s">
        <v>41</v>
      </c>
      <c r="D5" s="7" t="s">
        <v>68</v>
      </c>
      <c r="E5" s="7" t="s">
        <v>69</v>
      </c>
      <c r="F5" s="7" t="s">
        <v>44</v>
      </c>
      <c r="G5" s="7">
        <v>95</v>
      </c>
      <c r="H5" s="7" t="s">
        <v>45</v>
      </c>
      <c r="I5" s="7" t="s">
        <v>11</v>
      </c>
      <c r="J5" s="7" t="s">
        <v>46</v>
      </c>
      <c r="K5" s="7" t="s">
        <v>47</v>
      </c>
      <c r="L5" s="7" t="s">
        <v>70</v>
      </c>
      <c r="M5" s="7" t="s">
        <v>49</v>
      </c>
      <c r="N5" s="7" t="s">
        <v>71</v>
      </c>
      <c r="O5" s="7" t="s">
        <v>72</v>
      </c>
      <c r="P5" s="7"/>
    </row>
    <row r="6" spans="1:16" x14ac:dyDescent="0.3">
      <c r="A6" s="6" t="s">
        <v>73</v>
      </c>
      <c r="B6" s="6" t="s">
        <v>74</v>
      </c>
      <c r="C6" s="6" t="s">
        <v>41</v>
      </c>
      <c r="D6" s="6" t="s">
        <v>42</v>
      </c>
      <c r="E6" s="6" t="s">
        <v>75</v>
      </c>
      <c r="F6" s="6" t="s">
        <v>55</v>
      </c>
      <c r="G6" s="6">
        <v>40</v>
      </c>
      <c r="H6" s="6" t="s">
        <v>76</v>
      </c>
      <c r="I6" s="6" t="s">
        <v>11</v>
      </c>
      <c r="J6" s="6" t="s">
        <v>46</v>
      </c>
      <c r="K6" s="6" t="s">
        <v>47</v>
      </c>
      <c r="L6" s="6" t="s">
        <v>77</v>
      </c>
      <c r="M6" s="6" t="s">
        <v>49</v>
      </c>
      <c r="N6" s="6" t="s">
        <v>78</v>
      </c>
      <c r="O6" s="6" t="s">
        <v>79</v>
      </c>
      <c r="P6" s="6"/>
    </row>
    <row r="7" spans="1:16" x14ac:dyDescent="0.3">
      <c r="A7" s="7" t="s">
        <v>80</v>
      </c>
      <c r="B7" s="7" t="s">
        <v>81</v>
      </c>
      <c r="C7" s="7" t="s">
        <v>41</v>
      </c>
      <c r="D7" s="7" t="s">
        <v>82</v>
      </c>
      <c r="E7" s="7" t="s">
        <v>83</v>
      </c>
      <c r="F7" s="7" t="s">
        <v>55</v>
      </c>
      <c r="G7" s="7">
        <v>35</v>
      </c>
      <c r="H7" s="7" t="s">
        <v>45</v>
      </c>
      <c r="I7" s="7" t="s">
        <v>11</v>
      </c>
      <c r="J7" s="7" t="s">
        <v>84</v>
      </c>
      <c r="K7" s="7" t="s">
        <v>47</v>
      </c>
      <c r="L7" s="7" t="s">
        <v>85</v>
      </c>
      <c r="M7" s="7" t="s">
        <v>49</v>
      </c>
      <c r="N7" s="7" t="s">
        <v>86</v>
      </c>
      <c r="O7" s="7" t="s">
        <v>87</v>
      </c>
      <c r="P7" s="7"/>
    </row>
    <row r="8" spans="1:16" x14ac:dyDescent="0.3">
      <c r="A8" s="6" t="s">
        <v>88</v>
      </c>
      <c r="B8" s="6" t="s">
        <v>89</v>
      </c>
      <c r="C8" s="6" t="s">
        <v>41</v>
      </c>
      <c r="D8" s="6" t="s">
        <v>42</v>
      </c>
      <c r="E8" s="6" t="s">
        <v>90</v>
      </c>
      <c r="F8" s="6" t="s">
        <v>55</v>
      </c>
      <c r="G8" s="6">
        <v>55</v>
      </c>
      <c r="H8" s="6" t="s">
        <v>56</v>
      </c>
      <c r="I8" s="6" t="s">
        <v>11</v>
      </c>
      <c r="J8" s="6" t="s">
        <v>46</v>
      </c>
      <c r="K8" s="6" t="s">
        <v>47</v>
      </c>
      <c r="L8" s="6" t="s">
        <v>91</v>
      </c>
      <c r="M8" s="6" t="s">
        <v>49</v>
      </c>
      <c r="N8" s="6" t="s">
        <v>92</v>
      </c>
      <c r="O8" s="6" t="s">
        <v>93</v>
      </c>
      <c r="P8" s="6"/>
    </row>
    <row r="9" spans="1:16" x14ac:dyDescent="0.3">
      <c r="A9" s="7" t="s">
        <v>94</v>
      </c>
      <c r="B9" s="7" t="s">
        <v>95</v>
      </c>
      <c r="C9" s="7" t="s">
        <v>41</v>
      </c>
      <c r="D9" s="7" t="s">
        <v>82</v>
      </c>
      <c r="E9" s="7" t="s">
        <v>96</v>
      </c>
      <c r="F9" s="7" t="s">
        <v>97</v>
      </c>
      <c r="G9" s="7">
        <v>30</v>
      </c>
      <c r="H9" s="7" t="s">
        <v>45</v>
      </c>
      <c r="I9" s="7" t="s">
        <v>11</v>
      </c>
      <c r="J9" s="7" t="s">
        <v>84</v>
      </c>
      <c r="K9" s="7" t="s">
        <v>47</v>
      </c>
      <c r="L9" s="7" t="s">
        <v>98</v>
      </c>
      <c r="M9" s="7" t="s">
        <v>49</v>
      </c>
      <c r="N9" s="7" t="s">
        <v>99</v>
      </c>
      <c r="O9" s="7" t="s">
        <v>100</v>
      </c>
      <c r="P9" s="7"/>
    </row>
    <row r="10" spans="1:16" x14ac:dyDescent="0.3">
      <c r="A10" s="6" t="s">
        <v>101</v>
      </c>
      <c r="B10" s="6" t="s">
        <v>102</v>
      </c>
      <c r="C10" s="6" t="s">
        <v>41</v>
      </c>
      <c r="D10" s="6" t="s">
        <v>42</v>
      </c>
      <c r="E10" s="6" t="s">
        <v>103</v>
      </c>
      <c r="F10" s="6" t="s">
        <v>44</v>
      </c>
      <c r="G10" s="6">
        <v>90</v>
      </c>
      <c r="H10" s="6" t="s">
        <v>45</v>
      </c>
      <c r="I10" s="6" t="s">
        <v>11</v>
      </c>
      <c r="J10" s="6" t="s">
        <v>84</v>
      </c>
      <c r="K10" s="6" t="s">
        <v>47</v>
      </c>
      <c r="L10" s="6" t="s">
        <v>104</v>
      </c>
      <c r="M10" s="6" t="s">
        <v>49</v>
      </c>
      <c r="N10" s="6" t="s">
        <v>105</v>
      </c>
      <c r="O10" s="6" t="s">
        <v>106</v>
      </c>
      <c r="P10" s="6"/>
    </row>
    <row r="11" spans="1:16" x14ac:dyDescent="0.3">
      <c r="A11" s="7" t="s">
        <v>107</v>
      </c>
      <c r="B11" s="7" t="s">
        <v>108</v>
      </c>
      <c r="C11" s="7" t="s">
        <v>41</v>
      </c>
      <c r="D11" s="7" t="s">
        <v>42</v>
      </c>
      <c r="E11" s="7" t="s">
        <v>75</v>
      </c>
      <c r="F11" s="7" t="s">
        <v>44</v>
      </c>
      <c r="G11" s="7">
        <v>80</v>
      </c>
      <c r="H11" s="7" t="s">
        <v>45</v>
      </c>
      <c r="I11" s="7" t="s">
        <v>11</v>
      </c>
      <c r="J11" s="7" t="s">
        <v>84</v>
      </c>
      <c r="K11" s="7" t="s">
        <v>47</v>
      </c>
      <c r="L11" s="7" t="s">
        <v>109</v>
      </c>
      <c r="M11" s="7" t="s">
        <v>49</v>
      </c>
      <c r="N11" s="7" t="s">
        <v>110</v>
      </c>
      <c r="O11" s="7" t="s">
        <v>111</v>
      </c>
      <c r="P11" s="7"/>
    </row>
    <row r="12" spans="1:16" x14ac:dyDescent="0.3">
      <c r="A12" s="6" t="s">
        <v>112</v>
      </c>
      <c r="B12" s="6" t="s">
        <v>113</v>
      </c>
      <c r="C12" s="6" t="s">
        <v>41</v>
      </c>
      <c r="D12" s="6" t="s">
        <v>82</v>
      </c>
      <c r="E12" s="6" t="s">
        <v>114</v>
      </c>
      <c r="F12" s="6" t="s">
        <v>55</v>
      </c>
      <c r="G12" s="6">
        <v>42</v>
      </c>
      <c r="H12" s="6" t="s">
        <v>76</v>
      </c>
      <c r="I12" s="6" t="s">
        <v>11</v>
      </c>
      <c r="J12" s="6" t="s">
        <v>46</v>
      </c>
      <c r="K12" s="6" t="s">
        <v>47</v>
      </c>
      <c r="L12" s="6" t="s">
        <v>115</v>
      </c>
      <c r="M12" s="6" t="s">
        <v>49</v>
      </c>
      <c r="N12" s="6" t="s">
        <v>116</v>
      </c>
      <c r="O12" s="6" t="s">
        <v>117</v>
      </c>
      <c r="P12" s="6"/>
    </row>
    <row r="13" spans="1:16" x14ac:dyDescent="0.3">
      <c r="A13" s="7" t="s">
        <v>118</v>
      </c>
      <c r="B13" s="7" t="s">
        <v>119</v>
      </c>
      <c r="C13" s="7" t="s">
        <v>41</v>
      </c>
      <c r="D13" s="7" t="s">
        <v>42</v>
      </c>
      <c r="E13" s="7" t="s">
        <v>96</v>
      </c>
      <c r="F13" s="7" t="s">
        <v>44</v>
      </c>
      <c r="G13" s="7">
        <v>60</v>
      </c>
      <c r="H13" s="7" t="s">
        <v>45</v>
      </c>
      <c r="I13" s="7" t="s">
        <v>11</v>
      </c>
      <c r="J13" s="7" t="s">
        <v>84</v>
      </c>
      <c r="K13" s="7" t="s">
        <v>47</v>
      </c>
      <c r="L13" s="7" t="s">
        <v>120</v>
      </c>
      <c r="M13" s="7" t="s">
        <v>49</v>
      </c>
      <c r="N13" s="7" t="s">
        <v>121</v>
      </c>
      <c r="O13" s="7" t="s">
        <v>122</v>
      </c>
      <c r="P13" s="7"/>
    </row>
    <row r="14" spans="1:16" x14ac:dyDescent="0.3">
      <c r="A14" s="6" t="s">
        <v>123</v>
      </c>
      <c r="B14" s="6" t="s">
        <v>124</v>
      </c>
      <c r="C14" s="6" t="s">
        <v>41</v>
      </c>
      <c r="D14" s="6" t="s">
        <v>42</v>
      </c>
      <c r="E14" s="6" t="s">
        <v>96</v>
      </c>
      <c r="F14" s="6" t="s">
        <v>44</v>
      </c>
      <c r="G14" s="6">
        <v>75</v>
      </c>
      <c r="H14" s="6" t="s">
        <v>45</v>
      </c>
      <c r="I14" s="6" t="s">
        <v>11</v>
      </c>
      <c r="J14" s="6" t="s">
        <v>84</v>
      </c>
      <c r="K14" s="6" t="s">
        <v>47</v>
      </c>
      <c r="L14" s="6" t="s">
        <v>125</v>
      </c>
      <c r="M14" s="6" t="s">
        <v>49</v>
      </c>
      <c r="N14" s="6" t="s">
        <v>126</v>
      </c>
      <c r="O14" s="6" t="s">
        <v>127</v>
      </c>
      <c r="P14" s="6"/>
    </row>
    <row r="15" spans="1:16" x14ac:dyDescent="0.3">
      <c r="A15" s="7" t="s">
        <v>128</v>
      </c>
      <c r="B15" s="7" t="s">
        <v>129</v>
      </c>
      <c r="C15" s="7" t="s">
        <v>41</v>
      </c>
      <c r="D15" s="7" t="s">
        <v>42</v>
      </c>
      <c r="E15" s="7" t="s">
        <v>130</v>
      </c>
      <c r="F15" s="7" t="s">
        <v>44</v>
      </c>
      <c r="G15" s="7">
        <v>85</v>
      </c>
      <c r="H15" s="7" t="s">
        <v>45</v>
      </c>
      <c r="I15" s="7" t="s">
        <v>11</v>
      </c>
      <c r="J15" s="7" t="s">
        <v>84</v>
      </c>
      <c r="K15" s="7" t="s">
        <v>47</v>
      </c>
      <c r="L15" s="7" t="s">
        <v>131</v>
      </c>
      <c r="M15" s="7" t="s">
        <v>49</v>
      </c>
      <c r="N15" s="7" t="s">
        <v>132</v>
      </c>
      <c r="O15" s="7" t="s">
        <v>133</v>
      </c>
      <c r="P15" s="7"/>
    </row>
    <row r="16" spans="1:16" x14ac:dyDescent="0.3">
      <c r="A16" s="6" t="s">
        <v>134</v>
      </c>
      <c r="B16" s="6" t="s">
        <v>135</v>
      </c>
      <c r="C16" s="6" t="s">
        <v>41</v>
      </c>
      <c r="D16" s="6" t="s">
        <v>42</v>
      </c>
      <c r="E16" s="6" t="s">
        <v>136</v>
      </c>
      <c r="F16" s="6" t="s">
        <v>55</v>
      </c>
      <c r="G16" s="6">
        <v>25</v>
      </c>
      <c r="H16" s="6" t="s">
        <v>76</v>
      </c>
      <c r="I16" s="6" t="s">
        <v>11</v>
      </c>
      <c r="J16" s="6" t="s">
        <v>46</v>
      </c>
      <c r="K16" s="6" t="s">
        <v>47</v>
      </c>
      <c r="L16" s="6" t="s">
        <v>91</v>
      </c>
      <c r="M16" s="6" t="s">
        <v>49</v>
      </c>
      <c r="N16" s="6" t="s">
        <v>137</v>
      </c>
      <c r="O16" s="6" t="s">
        <v>138</v>
      </c>
      <c r="P16" s="6"/>
    </row>
    <row r="17" spans="1:16" x14ac:dyDescent="0.3">
      <c r="A17" s="7" t="s">
        <v>139</v>
      </c>
      <c r="B17" s="7" t="s">
        <v>140</v>
      </c>
      <c r="C17" s="7" t="s">
        <v>41</v>
      </c>
      <c r="D17" s="7" t="s">
        <v>42</v>
      </c>
      <c r="E17" s="7" t="s">
        <v>75</v>
      </c>
      <c r="F17" s="7" t="s">
        <v>55</v>
      </c>
      <c r="G17" s="7">
        <v>50</v>
      </c>
      <c r="H17" s="7" t="s">
        <v>45</v>
      </c>
      <c r="I17" s="7" t="s">
        <v>11</v>
      </c>
      <c r="J17" s="7" t="s">
        <v>46</v>
      </c>
      <c r="K17" s="7" t="s">
        <v>47</v>
      </c>
      <c r="L17" s="7" t="s">
        <v>141</v>
      </c>
      <c r="M17" s="7" t="s">
        <v>49</v>
      </c>
      <c r="N17" s="7" t="s">
        <v>142</v>
      </c>
      <c r="O17" s="7" t="s">
        <v>143</v>
      </c>
      <c r="P17" s="7"/>
    </row>
    <row r="18" spans="1:16" x14ac:dyDescent="0.3">
      <c r="A18" s="6" t="s">
        <v>144</v>
      </c>
      <c r="B18" s="6" t="s">
        <v>145</v>
      </c>
      <c r="C18" s="6" t="s">
        <v>41</v>
      </c>
      <c r="D18" s="6" t="s">
        <v>42</v>
      </c>
      <c r="E18" s="6" t="s">
        <v>96</v>
      </c>
      <c r="F18" s="6" t="s">
        <v>44</v>
      </c>
      <c r="G18" s="6">
        <v>92</v>
      </c>
      <c r="H18" s="6" t="s">
        <v>45</v>
      </c>
      <c r="I18" s="6" t="s">
        <v>11</v>
      </c>
      <c r="J18" s="6" t="s">
        <v>84</v>
      </c>
      <c r="K18" s="6" t="s">
        <v>47</v>
      </c>
      <c r="L18" s="6" t="s">
        <v>70</v>
      </c>
      <c r="M18" s="6" t="s">
        <v>49</v>
      </c>
      <c r="N18" s="6" t="s">
        <v>146</v>
      </c>
      <c r="O18" s="6" t="s">
        <v>147</v>
      </c>
      <c r="P18" s="6"/>
    </row>
    <row r="19" spans="1:16" x14ac:dyDescent="0.3">
      <c r="A19" s="7" t="s">
        <v>148</v>
      </c>
      <c r="B19" s="7" t="s">
        <v>149</v>
      </c>
      <c r="C19" s="7" t="s">
        <v>41</v>
      </c>
      <c r="D19" s="7" t="s">
        <v>42</v>
      </c>
      <c r="E19" s="7" t="s">
        <v>96</v>
      </c>
      <c r="F19" s="7" t="s">
        <v>44</v>
      </c>
      <c r="G19" s="7">
        <v>88</v>
      </c>
      <c r="H19" s="7" t="s">
        <v>45</v>
      </c>
      <c r="I19" s="7" t="s">
        <v>11</v>
      </c>
      <c r="J19" s="7" t="s">
        <v>84</v>
      </c>
      <c r="K19" s="7" t="s">
        <v>47</v>
      </c>
      <c r="L19" s="7" t="s">
        <v>77</v>
      </c>
      <c r="M19" s="7" t="s">
        <v>49</v>
      </c>
      <c r="N19" s="7" t="s">
        <v>150</v>
      </c>
      <c r="O19" s="7" t="s">
        <v>151</v>
      </c>
      <c r="P19" s="7"/>
    </row>
    <row r="20" spans="1:16" x14ac:dyDescent="0.3">
      <c r="A20" s="6" t="s">
        <v>152</v>
      </c>
      <c r="B20" s="6" t="s">
        <v>153</v>
      </c>
      <c r="C20" s="6" t="s">
        <v>41</v>
      </c>
      <c r="D20" s="6" t="s">
        <v>42</v>
      </c>
      <c r="E20" s="6" t="s">
        <v>96</v>
      </c>
      <c r="F20" s="6" t="s">
        <v>44</v>
      </c>
      <c r="G20" s="6">
        <v>70</v>
      </c>
      <c r="H20" s="6" t="s">
        <v>45</v>
      </c>
      <c r="I20" s="6" t="s">
        <v>11</v>
      </c>
      <c r="J20" s="6" t="s">
        <v>84</v>
      </c>
      <c r="K20" s="6" t="s">
        <v>47</v>
      </c>
      <c r="L20" s="6" t="s">
        <v>154</v>
      </c>
      <c r="M20" s="6" t="s">
        <v>49</v>
      </c>
      <c r="N20" s="6" t="s">
        <v>155</v>
      </c>
      <c r="O20" s="6" t="s">
        <v>156</v>
      </c>
      <c r="P20" s="6"/>
    </row>
    <row r="21" spans="1:16" x14ac:dyDescent="0.3">
      <c r="A21" s="7" t="s">
        <v>157</v>
      </c>
      <c r="B21" s="7" t="s">
        <v>158</v>
      </c>
      <c r="C21" s="7" t="s">
        <v>41</v>
      </c>
      <c r="D21" s="7" t="s">
        <v>42</v>
      </c>
      <c r="E21" s="7" t="s">
        <v>159</v>
      </c>
      <c r="F21" s="7" t="s">
        <v>44</v>
      </c>
      <c r="G21" s="7">
        <v>95</v>
      </c>
      <c r="H21" s="7" t="s">
        <v>45</v>
      </c>
      <c r="I21" s="7" t="s">
        <v>11</v>
      </c>
      <c r="J21" s="7" t="s">
        <v>84</v>
      </c>
      <c r="K21" s="7" t="s">
        <v>47</v>
      </c>
      <c r="L21" s="7" t="s">
        <v>160</v>
      </c>
      <c r="M21" s="7" t="s">
        <v>49</v>
      </c>
      <c r="N21" s="7" t="s">
        <v>161</v>
      </c>
      <c r="O21" s="7" t="s">
        <v>162</v>
      </c>
      <c r="P21" s="7"/>
    </row>
    <row r="22" spans="1:16" x14ac:dyDescent="0.3">
      <c r="A22" s="6" t="s">
        <v>163</v>
      </c>
      <c r="B22" s="6" t="s">
        <v>164</v>
      </c>
      <c r="C22" s="6" t="s">
        <v>41</v>
      </c>
      <c r="D22" s="6" t="s">
        <v>165</v>
      </c>
      <c r="E22" s="6" t="s">
        <v>90</v>
      </c>
      <c r="F22" s="6" t="s">
        <v>44</v>
      </c>
      <c r="G22" s="6">
        <v>90</v>
      </c>
      <c r="H22" s="6" t="s">
        <v>45</v>
      </c>
      <c r="I22" s="6" t="s">
        <v>11</v>
      </c>
      <c r="J22" s="6" t="s">
        <v>84</v>
      </c>
      <c r="K22" s="6" t="s">
        <v>47</v>
      </c>
      <c r="L22" s="6" t="s">
        <v>166</v>
      </c>
      <c r="M22" s="6" t="s">
        <v>49</v>
      </c>
      <c r="N22" s="6" t="s">
        <v>167</v>
      </c>
      <c r="O22" s="6" t="s">
        <v>168</v>
      </c>
      <c r="P22" s="6"/>
    </row>
    <row r="23" spans="1:16" x14ac:dyDescent="0.3">
      <c r="A23" s="7" t="s">
        <v>169</v>
      </c>
      <c r="B23" s="7" t="s">
        <v>170</v>
      </c>
      <c r="C23" s="7" t="s">
        <v>41</v>
      </c>
      <c r="D23" s="7" t="s">
        <v>42</v>
      </c>
      <c r="E23" s="7" t="s">
        <v>171</v>
      </c>
      <c r="F23" s="7" t="s">
        <v>55</v>
      </c>
      <c r="G23" s="7">
        <v>28</v>
      </c>
      <c r="H23" s="7" t="s">
        <v>76</v>
      </c>
      <c r="I23" s="7" t="s">
        <v>11</v>
      </c>
      <c r="J23" s="7" t="s">
        <v>46</v>
      </c>
      <c r="K23" s="7" t="s">
        <v>47</v>
      </c>
      <c r="L23" s="7" t="s">
        <v>91</v>
      </c>
      <c r="M23" s="7" t="s">
        <v>49</v>
      </c>
      <c r="N23" s="7" t="s">
        <v>172</v>
      </c>
      <c r="O23" s="7" t="s">
        <v>173</v>
      </c>
      <c r="P23" s="7"/>
    </row>
    <row r="24" spans="1:16" x14ac:dyDescent="0.3">
      <c r="A24" s="6" t="s">
        <v>174</v>
      </c>
      <c r="B24" s="6" t="s">
        <v>175</v>
      </c>
      <c r="C24" s="6" t="s">
        <v>41</v>
      </c>
      <c r="D24" s="6" t="s">
        <v>82</v>
      </c>
      <c r="E24" s="6" t="s">
        <v>176</v>
      </c>
      <c r="F24" s="6" t="s">
        <v>55</v>
      </c>
      <c r="G24" s="6">
        <v>35</v>
      </c>
      <c r="H24" s="6" t="s">
        <v>45</v>
      </c>
      <c r="I24" s="6" t="s">
        <v>11</v>
      </c>
      <c r="J24" s="6" t="s">
        <v>84</v>
      </c>
      <c r="K24" s="6" t="s">
        <v>47</v>
      </c>
      <c r="L24" s="6" t="s">
        <v>125</v>
      </c>
      <c r="M24" s="6" t="s">
        <v>49</v>
      </c>
      <c r="N24" s="6" t="s">
        <v>177</v>
      </c>
      <c r="O24" s="6" t="s">
        <v>178</v>
      </c>
      <c r="P24" s="6"/>
    </row>
    <row r="25" spans="1:16" x14ac:dyDescent="0.3">
      <c r="A25" s="7" t="s">
        <v>179</v>
      </c>
      <c r="B25" s="7" t="s">
        <v>180</v>
      </c>
      <c r="C25" s="7" t="s">
        <v>41</v>
      </c>
      <c r="D25" s="7" t="s">
        <v>42</v>
      </c>
      <c r="E25" s="7" t="s">
        <v>176</v>
      </c>
      <c r="F25" s="7" t="s">
        <v>44</v>
      </c>
      <c r="G25" s="7">
        <v>65</v>
      </c>
      <c r="H25" s="7" t="s">
        <v>45</v>
      </c>
      <c r="I25" s="7" t="s">
        <v>11</v>
      </c>
      <c r="J25" s="7" t="s">
        <v>84</v>
      </c>
      <c r="K25" s="7" t="s">
        <v>47</v>
      </c>
      <c r="L25" s="7" t="s">
        <v>98</v>
      </c>
      <c r="M25" s="7" t="s">
        <v>49</v>
      </c>
      <c r="N25" s="7" t="s">
        <v>181</v>
      </c>
      <c r="O25" s="7" t="s">
        <v>182</v>
      </c>
      <c r="P25" s="7"/>
    </row>
    <row r="26" spans="1:16" x14ac:dyDescent="0.3">
      <c r="A26" s="6" t="s">
        <v>183</v>
      </c>
      <c r="B26" s="6" t="s">
        <v>184</v>
      </c>
      <c r="C26" s="6" t="s">
        <v>41</v>
      </c>
      <c r="D26" s="6" t="s">
        <v>82</v>
      </c>
      <c r="E26" s="6" t="s">
        <v>176</v>
      </c>
      <c r="F26" s="6" t="s">
        <v>55</v>
      </c>
      <c r="G26" s="6">
        <v>40</v>
      </c>
      <c r="H26" s="6" t="s">
        <v>56</v>
      </c>
      <c r="I26" s="6" t="s">
        <v>11</v>
      </c>
      <c r="J26" s="6" t="s">
        <v>84</v>
      </c>
      <c r="K26" s="6" t="s">
        <v>47</v>
      </c>
      <c r="L26" s="6" t="s">
        <v>185</v>
      </c>
      <c r="M26" s="6" t="s">
        <v>49</v>
      </c>
      <c r="N26" s="6" t="s">
        <v>186</v>
      </c>
      <c r="O26" s="6" t="s">
        <v>187</v>
      </c>
      <c r="P26" s="6"/>
    </row>
    <row r="27" spans="1:16" x14ac:dyDescent="0.3">
      <c r="A27" s="7" t="s">
        <v>188</v>
      </c>
      <c r="B27" s="7" t="s">
        <v>189</v>
      </c>
      <c r="C27" s="7" t="s">
        <v>41</v>
      </c>
      <c r="D27" s="7" t="s">
        <v>42</v>
      </c>
      <c r="E27" s="7" t="s">
        <v>190</v>
      </c>
      <c r="F27" s="7" t="s">
        <v>55</v>
      </c>
      <c r="G27" s="7">
        <v>45</v>
      </c>
      <c r="H27" s="7" t="s">
        <v>45</v>
      </c>
      <c r="I27" s="7" t="s">
        <v>11</v>
      </c>
      <c r="J27" s="7" t="s">
        <v>46</v>
      </c>
      <c r="K27" s="7" t="s">
        <v>47</v>
      </c>
      <c r="L27" s="7" t="s">
        <v>77</v>
      </c>
      <c r="M27" s="7" t="s">
        <v>49</v>
      </c>
      <c r="N27" s="7" t="s">
        <v>191</v>
      </c>
      <c r="O27" s="7" t="s">
        <v>192</v>
      </c>
      <c r="P27" s="7"/>
    </row>
    <row r="28" spans="1:16" x14ac:dyDescent="0.3">
      <c r="A28" s="6" t="s">
        <v>193</v>
      </c>
      <c r="B28" s="6" t="s">
        <v>194</v>
      </c>
      <c r="C28" s="6" t="s">
        <v>41</v>
      </c>
      <c r="D28" s="6" t="s">
        <v>42</v>
      </c>
      <c r="E28" s="6" t="s">
        <v>195</v>
      </c>
      <c r="F28" s="6" t="s">
        <v>55</v>
      </c>
      <c r="G28" s="6">
        <v>20</v>
      </c>
      <c r="H28" s="6" t="s">
        <v>76</v>
      </c>
      <c r="I28" s="6" t="s">
        <v>11</v>
      </c>
      <c r="J28" s="6" t="s">
        <v>46</v>
      </c>
      <c r="K28" s="6" t="s">
        <v>47</v>
      </c>
      <c r="L28" s="6" t="s">
        <v>91</v>
      </c>
      <c r="M28" s="6" t="s">
        <v>49</v>
      </c>
      <c r="N28" s="6" t="s">
        <v>196</v>
      </c>
      <c r="O28" s="6" t="s">
        <v>197</v>
      </c>
      <c r="P28" s="6"/>
    </row>
    <row r="29" spans="1:16" x14ac:dyDescent="0.3">
      <c r="A29" s="7" t="s">
        <v>198</v>
      </c>
      <c r="B29" s="7" t="s">
        <v>199</v>
      </c>
      <c r="C29" s="7" t="s">
        <v>41</v>
      </c>
      <c r="D29" s="7" t="s">
        <v>68</v>
      </c>
      <c r="E29" s="7" t="s">
        <v>200</v>
      </c>
      <c r="F29" s="7" t="s">
        <v>44</v>
      </c>
      <c r="G29" s="7">
        <v>72</v>
      </c>
      <c r="H29" s="7" t="s">
        <v>45</v>
      </c>
      <c r="I29" s="7" t="s">
        <v>11</v>
      </c>
      <c r="J29" s="7" t="s">
        <v>46</v>
      </c>
      <c r="K29" s="7" t="s">
        <v>47</v>
      </c>
      <c r="L29" s="7" t="s">
        <v>201</v>
      </c>
      <c r="M29" s="7" t="s">
        <v>49</v>
      </c>
      <c r="N29" s="7" t="s">
        <v>202</v>
      </c>
      <c r="O29" s="7" t="s">
        <v>203</v>
      </c>
      <c r="P29" s="7"/>
    </row>
    <row r="30" spans="1:16" x14ac:dyDescent="0.3">
      <c r="A30" s="6" t="s">
        <v>204</v>
      </c>
      <c r="B30" s="6" t="s">
        <v>205</v>
      </c>
      <c r="C30" s="6" t="s">
        <v>41</v>
      </c>
      <c r="D30" s="6" t="s">
        <v>42</v>
      </c>
      <c r="E30" s="6" t="s">
        <v>206</v>
      </c>
      <c r="F30" s="6" t="s">
        <v>44</v>
      </c>
      <c r="G30" s="6">
        <v>98</v>
      </c>
      <c r="H30" s="6" t="s">
        <v>45</v>
      </c>
      <c r="I30" s="6" t="s">
        <v>11</v>
      </c>
      <c r="J30" s="6" t="s">
        <v>84</v>
      </c>
      <c r="K30" s="6" t="s">
        <v>47</v>
      </c>
      <c r="L30" s="6" t="s">
        <v>166</v>
      </c>
      <c r="M30" s="6" t="s">
        <v>49</v>
      </c>
      <c r="N30" s="6" t="s">
        <v>207</v>
      </c>
      <c r="O30" s="6" t="s">
        <v>208</v>
      </c>
      <c r="P30" s="6"/>
    </row>
    <row r="31" spans="1:16" x14ac:dyDescent="0.3">
      <c r="A31" s="7" t="s">
        <v>209</v>
      </c>
      <c r="B31" s="7" t="s">
        <v>210</v>
      </c>
      <c r="C31" s="7" t="s">
        <v>41</v>
      </c>
      <c r="D31" s="7" t="s">
        <v>42</v>
      </c>
      <c r="E31" s="7" t="s">
        <v>200</v>
      </c>
      <c r="F31" s="7" t="s">
        <v>55</v>
      </c>
      <c r="G31" s="7">
        <v>30</v>
      </c>
      <c r="H31" s="7" t="s">
        <v>76</v>
      </c>
      <c r="I31" s="7" t="s">
        <v>11</v>
      </c>
      <c r="J31" s="7" t="s">
        <v>46</v>
      </c>
      <c r="K31" s="7" t="s">
        <v>47</v>
      </c>
      <c r="L31" s="7" t="s">
        <v>211</v>
      </c>
      <c r="M31" s="7" t="s">
        <v>49</v>
      </c>
      <c r="N31" s="7" t="s">
        <v>212</v>
      </c>
      <c r="O31" s="7" t="s">
        <v>213</v>
      </c>
      <c r="P31" s="7"/>
    </row>
    <row r="32" spans="1:16" x14ac:dyDescent="0.3">
      <c r="A32" s="6" t="s">
        <v>214</v>
      </c>
      <c r="B32" s="6" t="s">
        <v>215</v>
      </c>
      <c r="C32" s="6" t="s">
        <v>41</v>
      </c>
      <c r="D32" s="6" t="s">
        <v>42</v>
      </c>
      <c r="E32" s="6" t="s">
        <v>75</v>
      </c>
      <c r="F32" s="6" t="s">
        <v>44</v>
      </c>
      <c r="G32" s="6">
        <v>85</v>
      </c>
      <c r="H32" s="6" t="s">
        <v>45</v>
      </c>
      <c r="I32" s="6" t="s">
        <v>11</v>
      </c>
      <c r="J32" s="6" t="s">
        <v>46</v>
      </c>
      <c r="K32" s="6" t="s">
        <v>47</v>
      </c>
      <c r="L32" s="6" t="s">
        <v>77</v>
      </c>
      <c r="M32" s="6" t="s">
        <v>49</v>
      </c>
      <c r="N32" s="6" t="s">
        <v>216</v>
      </c>
      <c r="O32" s="6" t="s">
        <v>217</v>
      </c>
      <c r="P32" s="6"/>
    </row>
    <row r="33" spans="1:16" x14ac:dyDescent="0.3">
      <c r="A33" s="7" t="s">
        <v>218</v>
      </c>
      <c r="B33" s="7" t="s">
        <v>219</v>
      </c>
      <c r="C33" s="7" t="s">
        <v>41</v>
      </c>
      <c r="D33" s="7" t="s">
        <v>42</v>
      </c>
      <c r="E33" s="7" t="s">
        <v>220</v>
      </c>
      <c r="F33" s="7" t="s">
        <v>44</v>
      </c>
      <c r="G33" s="7">
        <v>95</v>
      </c>
      <c r="H33" s="7" t="s">
        <v>45</v>
      </c>
      <c r="I33" s="7" t="s">
        <v>11</v>
      </c>
      <c r="J33" s="7" t="s">
        <v>84</v>
      </c>
      <c r="K33" s="7" t="s">
        <v>47</v>
      </c>
      <c r="L33" s="7" t="s">
        <v>120</v>
      </c>
      <c r="M33" s="7" t="s">
        <v>49</v>
      </c>
      <c r="N33" s="7" t="s">
        <v>221</v>
      </c>
      <c r="O33" s="7" t="s">
        <v>222</v>
      </c>
      <c r="P33" s="7"/>
    </row>
    <row r="34" spans="1:16" x14ac:dyDescent="0.3">
      <c r="A34" s="6" t="s">
        <v>223</v>
      </c>
      <c r="B34" s="6" t="s">
        <v>224</v>
      </c>
      <c r="C34" s="6" t="s">
        <v>41</v>
      </c>
      <c r="D34" s="6" t="s">
        <v>68</v>
      </c>
      <c r="E34" s="6" t="s">
        <v>225</v>
      </c>
      <c r="F34" s="6" t="s">
        <v>44</v>
      </c>
      <c r="G34" s="6">
        <v>60</v>
      </c>
      <c r="H34" s="6" t="s">
        <v>45</v>
      </c>
      <c r="I34" s="6" t="s">
        <v>11</v>
      </c>
      <c r="J34" s="6" t="s">
        <v>46</v>
      </c>
      <c r="K34" s="6" t="s">
        <v>47</v>
      </c>
      <c r="L34" s="6" t="s">
        <v>125</v>
      </c>
      <c r="M34" s="6" t="s">
        <v>49</v>
      </c>
      <c r="N34" s="6" t="s">
        <v>226</v>
      </c>
      <c r="O34" s="6" t="s">
        <v>227</v>
      </c>
      <c r="P34" s="6"/>
    </row>
    <row r="35" spans="1:16" x14ac:dyDescent="0.3">
      <c r="A35" s="7" t="s">
        <v>228</v>
      </c>
      <c r="B35" s="7" t="s">
        <v>229</v>
      </c>
      <c r="C35" s="7" t="s">
        <v>41</v>
      </c>
      <c r="D35" s="7" t="s">
        <v>42</v>
      </c>
      <c r="E35" s="7" t="s">
        <v>230</v>
      </c>
      <c r="F35" s="7" t="s">
        <v>55</v>
      </c>
      <c r="G35" s="7">
        <v>38</v>
      </c>
      <c r="H35" s="7" t="s">
        <v>76</v>
      </c>
      <c r="I35" s="7" t="s">
        <v>11</v>
      </c>
      <c r="J35" s="7" t="s">
        <v>46</v>
      </c>
      <c r="K35" s="7" t="s">
        <v>47</v>
      </c>
      <c r="L35" s="7" t="s">
        <v>231</v>
      </c>
      <c r="M35" s="7" t="s">
        <v>49</v>
      </c>
      <c r="N35" s="7" t="s">
        <v>232</v>
      </c>
      <c r="O35" s="7" t="s">
        <v>233</v>
      </c>
      <c r="P35" s="7"/>
    </row>
    <row r="36" spans="1:16" x14ac:dyDescent="0.3">
      <c r="A36" s="6" t="s">
        <v>234</v>
      </c>
      <c r="B36" s="6" t="s">
        <v>235</v>
      </c>
      <c r="C36" s="6" t="s">
        <v>41</v>
      </c>
      <c r="D36" s="6" t="s">
        <v>236</v>
      </c>
      <c r="E36" s="6" t="s">
        <v>237</v>
      </c>
      <c r="F36" s="6" t="s">
        <v>55</v>
      </c>
      <c r="G36" s="6">
        <v>22</v>
      </c>
      <c r="H36" s="6" t="s">
        <v>76</v>
      </c>
      <c r="I36" s="6" t="s">
        <v>11</v>
      </c>
      <c r="J36" s="6" t="s">
        <v>46</v>
      </c>
      <c r="K36" s="6" t="s">
        <v>47</v>
      </c>
      <c r="L36" s="6" t="s">
        <v>77</v>
      </c>
      <c r="M36" s="6" t="s">
        <v>49</v>
      </c>
      <c r="N36" s="6" t="s">
        <v>238</v>
      </c>
      <c r="O36" s="6" t="s">
        <v>239</v>
      </c>
      <c r="P36" s="6"/>
    </row>
    <row r="37" spans="1:16" x14ac:dyDescent="0.3">
      <c r="A37" s="7" t="s">
        <v>240</v>
      </c>
      <c r="B37" s="7" t="s">
        <v>241</v>
      </c>
      <c r="C37" s="7" t="s">
        <v>41</v>
      </c>
      <c r="D37" s="7" t="s">
        <v>242</v>
      </c>
      <c r="E37" s="7" t="s">
        <v>75</v>
      </c>
      <c r="F37" s="7" t="s">
        <v>243</v>
      </c>
      <c r="G37" s="7">
        <v>95</v>
      </c>
      <c r="H37" s="7" t="s">
        <v>45</v>
      </c>
      <c r="I37" s="7" t="s">
        <v>11</v>
      </c>
      <c r="J37" s="7" t="s">
        <v>84</v>
      </c>
      <c r="K37" s="7" t="s">
        <v>47</v>
      </c>
      <c r="L37" s="7" t="s">
        <v>244</v>
      </c>
      <c r="M37" s="7" t="s">
        <v>49</v>
      </c>
      <c r="N37" s="7" t="s">
        <v>245</v>
      </c>
      <c r="O37" s="7" t="s">
        <v>246</v>
      </c>
      <c r="P37" s="7"/>
    </row>
    <row r="38" spans="1:16" x14ac:dyDescent="0.3">
      <c r="A38" s="6" t="s">
        <v>247</v>
      </c>
      <c r="B38" s="6" t="s">
        <v>248</v>
      </c>
      <c r="C38" s="6" t="s">
        <v>41</v>
      </c>
      <c r="D38" s="6" t="s">
        <v>68</v>
      </c>
      <c r="E38" s="6" t="s">
        <v>200</v>
      </c>
      <c r="F38" s="6" t="s">
        <v>243</v>
      </c>
      <c r="G38" s="6">
        <v>80</v>
      </c>
      <c r="H38" s="6" t="s">
        <v>45</v>
      </c>
      <c r="I38" s="6" t="s">
        <v>11</v>
      </c>
      <c r="J38" s="6" t="s">
        <v>84</v>
      </c>
      <c r="K38" s="6" t="s">
        <v>47</v>
      </c>
      <c r="L38" s="6" t="s">
        <v>249</v>
      </c>
      <c r="M38" s="6" t="s">
        <v>49</v>
      </c>
      <c r="N38" s="6" t="s">
        <v>250</v>
      </c>
      <c r="O38" s="6" t="s">
        <v>251</v>
      </c>
      <c r="P38" s="6"/>
    </row>
    <row r="39" spans="1:16" x14ac:dyDescent="0.3">
      <c r="A39" s="7" t="s">
        <v>252</v>
      </c>
      <c r="B39" s="7" t="s">
        <v>253</v>
      </c>
      <c r="C39" s="7" t="s">
        <v>41</v>
      </c>
      <c r="D39" s="7" t="s">
        <v>242</v>
      </c>
      <c r="E39" s="7" t="s">
        <v>206</v>
      </c>
      <c r="F39" s="7" t="s">
        <v>243</v>
      </c>
      <c r="G39" s="7">
        <v>25</v>
      </c>
      <c r="H39" s="7" t="s">
        <v>45</v>
      </c>
      <c r="I39" s="7" t="s">
        <v>11</v>
      </c>
      <c r="J39" s="7" t="s">
        <v>46</v>
      </c>
      <c r="K39" s="7" t="s">
        <v>47</v>
      </c>
      <c r="L39" s="7" t="s">
        <v>77</v>
      </c>
      <c r="M39" s="7" t="s">
        <v>49</v>
      </c>
      <c r="N39" s="7" t="s">
        <v>254</v>
      </c>
      <c r="O39" s="7" t="s">
        <v>255</v>
      </c>
      <c r="P39" s="7"/>
    </row>
    <row r="40" spans="1:16" x14ac:dyDescent="0.3">
      <c r="A40" s="6" t="s">
        <v>256</v>
      </c>
      <c r="B40" s="6" t="s">
        <v>257</v>
      </c>
      <c r="C40" s="6" t="s">
        <v>41</v>
      </c>
      <c r="D40" s="6" t="s">
        <v>236</v>
      </c>
      <c r="E40" s="6" t="s">
        <v>258</v>
      </c>
      <c r="F40" s="6" t="s">
        <v>55</v>
      </c>
      <c r="G40" s="6">
        <v>55</v>
      </c>
      <c r="H40" s="6" t="s">
        <v>45</v>
      </c>
      <c r="I40" s="6" t="s">
        <v>11</v>
      </c>
      <c r="J40" s="6" t="s">
        <v>84</v>
      </c>
      <c r="K40" s="6" t="s">
        <v>47</v>
      </c>
      <c r="L40" s="6" t="s">
        <v>125</v>
      </c>
      <c r="M40" s="6" t="s">
        <v>49</v>
      </c>
      <c r="N40" s="6" t="s">
        <v>259</v>
      </c>
      <c r="O40" s="6" t="s">
        <v>260</v>
      </c>
      <c r="P40" s="6"/>
    </row>
    <row r="41" spans="1:16" x14ac:dyDescent="0.3">
      <c r="A41" s="7" t="s">
        <v>261</v>
      </c>
      <c r="B41" s="7" t="s">
        <v>262</v>
      </c>
      <c r="C41" s="7" t="s">
        <v>41</v>
      </c>
      <c r="D41" s="7" t="s">
        <v>42</v>
      </c>
      <c r="E41" s="7" t="s">
        <v>263</v>
      </c>
      <c r="F41" s="7" t="s">
        <v>44</v>
      </c>
      <c r="G41" s="7">
        <v>75</v>
      </c>
      <c r="H41" s="7" t="s">
        <v>45</v>
      </c>
      <c r="I41" s="7" t="s">
        <v>11</v>
      </c>
      <c r="J41" s="7" t="s">
        <v>46</v>
      </c>
      <c r="K41" s="7" t="s">
        <v>47</v>
      </c>
      <c r="L41" s="7" t="s">
        <v>98</v>
      </c>
      <c r="M41" s="7" t="s">
        <v>49</v>
      </c>
      <c r="N41" s="7" t="s">
        <v>264</v>
      </c>
      <c r="O41" s="7" t="s">
        <v>265</v>
      </c>
      <c r="P41" s="7"/>
    </row>
    <row r="42" spans="1:16" x14ac:dyDescent="0.3">
      <c r="A42" s="6" t="s">
        <v>266</v>
      </c>
      <c r="B42" s="6" t="s">
        <v>267</v>
      </c>
      <c r="C42" s="6" t="s">
        <v>41</v>
      </c>
      <c r="D42" s="6" t="s">
        <v>42</v>
      </c>
      <c r="E42" s="6" t="s">
        <v>96</v>
      </c>
      <c r="F42" s="6" t="s">
        <v>55</v>
      </c>
      <c r="G42" s="6">
        <v>40</v>
      </c>
      <c r="H42" s="6" t="s">
        <v>56</v>
      </c>
      <c r="I42" s="6" t="s">
        <v>11</v>
      </c>
      <c r="J42" s="6" t="s">
        <v>84</v>
      </c>
      <c r="K42" s="6" t="s">
        <v>47</v>
      </c>
      <c r="L42" s="6" t="s">
        <v>77</v>
      </c>
      <c r="M42" s="6" t="s">
        <v>49</v>
      </c>
      <c r="N42" s="6" t="s">
        <v>268</v>
      </c>
      <c r="O42" s="6" t="s">
        <v>269</v>
      </c>
      <c r="P42" s="6"/>
    </row>
    <row r="43" spans="1:16" x14ac:dyDescent="0.3">
      <c r="A43" s="7" t="s">
        <v>270</v>
      </c>
      <c r="B43" s="7" t="s">
        <v>271</v>
      </c>
      <c r="C43" s="7" t="s">
        <v>41</v>
      </c>
      <c r="D43" s="7" t="s">
        <v>42</v>
      </c>
      <c r="E43" s="7" t="s">
        <v>96</v>
      </c>
      <c r="F43" s="7" t="s">
        <v>44</v>
      </c>
      <c r="G43" s="7">
        <v>95</v>
      </c>
      <c r="H43" s="7" t="s">
        <v>45</v>
      </c>
      <c r="I43" s="7" t="s">
        <v>11</v>
      </c>
      <c r="J43" s="7" t="s">
        <v>84</v>
      </c>
      <c r="K43" s="7" t="s">
        <v>47</v>
      </c>
      <c r="L43" s="7" t="s">
        <v>272</v>
      </c>
      <c r="M43" s="7" t="s">
        <v>49</v>
      </c>
      <c r="N43" s="7" t="s">
        <v>273</v>
      </c>
      <c r="O43" s="7" t="s">
        <v>274</v>
      </c>
      <c r="P43" s="7"/>
    </row>
    <row r="44" spans="1:16" x14ac:dyDescent="0.3">
      <c r="A44" s="6" t="s">
        <v>275</v>
      </c>
      <c r="B44" s="6" t="s">
        <v>276</v>
      </c>
      <c r="C44" s="6" t="s">
        <v>41</v>
      </c>
      <c r="D44" s="6" t="s">
        <v>68</v>
      </c>
      <c r="E44" s="6" t="s">
        <v>96</v>
      </c>
      <c r="F44" s="6" t="s">
        <v>44</v>
      </c>
      <c r="G44" s="6">
        <v>90</v>
      </c>
      <c r="H44" s="6" t="s">
        <v>45</v>
      </c>
      <c r="I44" s="6" t="s">
        <v>11</v>
      </c>
      <c r="J44" s="6" t="s">
        <v>84</v>
      </c>
      <c r="K44" s="6" t="s">
        <v>47</v>
      </c>
      <c r="L44" s="6" t="s">
        <v>120</v>
      </c>
      <c r="M44" s="6" t="s">
        <v>49</v>
      </c>
      <c r="N44" s="6" t="s">
        <v>277</v>
      </c>
      <c r="O44" s="6" t="s">
        <v>278</v>
      </c>
      <c r="P44" s="6"/>
    </row>
    <row r="45" spans="1:16" x14ac:dyDescent="0.3">
      <c r="A45" s="7" t="s">
        <v>279</v>
      </c>
      <c r="B45" s="7" t="s">
        <v>280</v>
      </c>
      <c r="C45" s="7" t="s">
        <v>41</v>
      </c>
      <c r="D45" s="7" t="s">
        <v>82</v>
      </c>
      <c r="E45" s="7" t="s">
        <v>96</v>
      </c>
      <c r="F45" s="7" t="s">
        <v>55</v>
      </c>
      <c r="G45" s="7">
        <v>35</v>
      </c>
      <c r="H45" s="7" t="s">
        <v>76</v>
      </c>
      <c r="I45" s="7" t="s">
        <v>11</v>
      </c>
      <c r="J45" s="7" t="s">
        <v>84</v>
      </c>
      <c r="K45" s="7" t="s">
        <v>47</v>
      </c>
      <c r="L45" s="7" t="s">
        <v>91</v>
      </c>
      <c r="M45" s="7" t="s">
        <v>49</v>
      </c>
      <c r="N45" s="7" t="s">
        <v>281</v>
      </c>
      <c r="O45" s="7" t="s">
        <v>282</v>
      </c>
      <c r="P45" s="7"/>
    </row>
    <row r="46" spans="1:16" x14ac:dyDescent="0.3">
      <c r="A46" s="6" t="s">
        <v>283</v>
      </c>
      <c r="B46" s="6" t="s">
        <v>284</v>
      </c>
      <c r="C46" s="6" t="s">
        <v>41</v>
      </c>
      <c r="D46" s="6" t="s">
        <v>42</v>
      </c>
      <c r="E46" s="6" t="s">
        <v>96</v>
      </c>
      <c r="F46" s="6" t="s">
        <v>55</v>
      </c>
      <c r="G46" s="6">
        <v>45</v>
      </c>
      <c r="H46" s="6" t="s">
        <v>45</v>
      </c>
      <c r="I46" s="6" t="s">
        <v>11</v>
      </c>
      <c r="J46" s="6" t="s">
        <v>46</v>
      </c>
      <c r="K46" s="6" t="s">
        <v>47</v>
      </c>
      <c r="L46" s="6" t="s">
        <v>77</v>
      </c>
      <c r="M46" s="6" t="s">
        <v>49</v>
      </c>
      <c r="N46" s="6" t="s">
        <v>285</v>
      </c>
      <c r="O46" s="6" t="s">
        <v>286</v>
      </c>
      <c r="P46" s="6"/>
    </row>
    <row r="47" spans="1:16" x14ac:dyDescent="0.3">
      <c r="A47" s="7" t="s">
        <v>287</v>
      </c>
      <c r="B47" s="7" t="s">
        <v>288</v>
      </c>
      <c r="C47" s="7" t="s">
        <v>41</v>
      </c>
      <c r="D47" s="7" t="s">
        <v>42</v>
      </c>
      <c r="E47" s="7" t="s">
        <v>289</v>
      </c>
      <c r="F47" s="7" t="s">
        <v>55</v>
      </c>
      <c r="G47" s="7">
        <v>28</v>
      </c>
      <c r="H47" s="7" t="s">
        <v>76</v>
      </c>
      <c r="I47" s="7" t="s">
        <v>11</v>
      </c>
      <c r="J47" s="7" t="s">
        <v>46</v>
      </c>
      <c r="K47" s="7" t="s">
        <v>47</v>
      </c>
      <c r="L47" s="7" t="s">
        <v>77</v>
      </c>
      <c r="M47" s="7" t="s">
        <v>49</v>
      </c>
      <c r="N47" s="7" t="s">
        <v>290</v>
      </c>
      <c r="O47" s="7" t="s">
        <v>291</v>
      </c>
      <c r="P47" s="7"/>
    </row>
    <row r="48" spans="1:16" x14ac:dyDescent="0.3">
      <c r="A48" s="6" t="s">
        <v>292</v>
      </c>
      <c r="B48" s="6" t="s">
        <v>293</v>
      </c>
      <c r="C48" s="6" t="s">
        <v>41</v>
      </c>
      <c r="D48" s="6" t="s">
        <v>242</v>
      </c>
      <c r="E48" s="6" t="s">
        <v>96</v>
      </c>
      <c r="F48" s="6" t="s">
        <v>97</v>
      </c>
      <c r="G48" s="6">
        <v>88</v>
      </c>
      <c r="H48" s="6" t="s">
        <v>45</v>
      </c>
      <c r="I48" s="6" t="s">
        <v>11</v>
      </c>
      <c r="J48" s="6" t="s">
        <v>84</v>
      </c>
      <c r="K48" s="6" t="s">
        <v>47</v>
      </c>
      <c r="L48" s="6" t="s">
        <v>109</v>
      </c>
      <c r="M48" s="6" t="s">
        <v>49</v>
      </c>
      <c r="N48" s="6" t="s">
        <v>294</v>
      </c>
      <c r="O48" s="6" t="s">
        <v>295</v>
      </c>
      <c r="P48" s="6"/>
    </row>
    <row r="49" spans="1:16" x14ac:dyDescent="0.3">
      <c r="A49" s="7" t="s">
        <v>296</v>
      </c>
      <c r="B49" s="7" t="s">
        <v>297</v>
      </c>
      <c r="C49" s="7" t="s">
        <v>41</v>
      </c>
      <c r="D49" s="7" t="s">
        <v>236</v>
      </c>
      <c r="E49" s="7" t="s">
        <v>75</v>
      </c>
      <c r="F49" s="7" t="s">
        <v>55</v>
      </c>
      <c r="G49" s="7">
        <v>50</v>
      </c>
      <c r="H49" s="7" t="s">
        <v>45</v>
      </c>
      <c r="I49" s="7" t="s">
        <v>11</v>
      </c>
      <c r="J49" s="7" t="s">
        <v>84</v>
      </c>
      <c r="K49" s="7" t="s">
        <v>47</v>
      </c>
      <c r="L49" s="7" t="s">
        <v>91</v>
      </c>
      <c r="M49" s="7" t="s">
        <v>49</v>
      </c>
      <c r="N49" s="7" t="s">
        <v>298</v>
      </c>
      <c r="O49" s="7" t="s">
        <v>299</v>
      </c>
      <c r="P49" s="7"/>
    </row>
    <row r="50" spans="1:16" x14ac:dyDescent="0.3">
      <c r="A50" s="6" t="s">
        <v>300</v>
      </c>
      <c r="B50" s="6" t="s">
        <v>301</v>
      </c>
      <c r="C50" s="6" t="s">
        <v>41</v>
      </c>
      <c r="D50" s="6" t="s">
        <v>236</v>
      </c>
      <c r="E50" s="6" t="s">
        <v>302</v>
      </c>
      <c r="F50" s="6" t="s">
        <v>55</v>
      </c>
      <c r="G50" s="6">
        <v>60</v>
      </c>
      <c r="H50" s="6" t="s">
        <v>45</v>
      </c>
      <c r="I50" s="6" t="s">
        <v>11</v>
      </c>
      <c r="J50" s="6" t="s">
        <v>84</v>
      </c>
      <c r="K50" s="6" t="s">
        <v>47</v>
      </c>
      <c r="L50" s="6" t="s">
        <v>98</v>
      </c>
      <c r="M50" s="6" t="s">
        <v>49</v>
      </c>
      <c r="N50" s="6" t="s">
        <v>303</v>
      </c>
      <c r="O50" s="6" t="s">
        <v>304</v>
      </c>
      <c r="P50" s="6"/>
    </row>
    <row r="51" spans="1:16" x14ac:dyDescent="0.3">
      <c r="A51" s="7" t="s">
        <v>305</v>
      </c>
      <c r="B51" s="7" t="s">
        <v>306</v>
      </c>
      <c r="C51" s="7" t="s">
        <v>41</v>
      </c>
      <c r="D51" s="7" t="s">
        <v>42</v>
      </c>
      <c r="E51" s="7" t="s">
        <v>302</v>
      </c>
      <c r="F51" s="7" t="s">
        <v>55</v>
      </c>
      <c r="G51" s="7">
        <v>35</v>
      </c>
      <c r="H51" s="7" t="s">
        <v>76</v>
      </c>
      <c r="I51" s="7" t="s">
        <v>11</v>
      </c>
      <c r="J51" s="7" t="s">
        <v>84</v>
      </c>
      <c r="K51" s="7" t="s">
        <v>47</v>
      </c>
      <c r="L51" s="7" t="s">
        <v>185</v>
      </c>
      <c r="M51" s="7" t="s">
        <v>49</v>
      </c>
      <c r="N51" s="7" t="s">
        <v>307</v>
      </c>
      <c r="O51" s="7" t="s">
        <v>308</v>
      </c>
      <c r="P51" s="7"/>
    </row>
    <row r="52" spans="1:16" x14ac:dyDescent="0.3">
      <c r="A52" s="6" t="s">
        <v>309</v>
      </c>
      <c r="B52" s="6" t="s">
        <v>310</v>
      </c>
      <c r="C52" s="6" t="s">
        <v>311</v>
      </c>
      <c r="D52" s="6" t="s">
        <v>312</v>
      </c>
      <c r="E52" s="6" t="s">
        <v>313</v>
      </c>
      <c r="F52" s="6" t="s">
        <v>55</v>
      </c>
      <c r="G52" s="6">
        <v>55</v>
      </c>
      <c r="H52" s="6" t="s">
        <v>45</v>
      </c>
      <c r="I52" s="6" t="s">
        <v>11</v>
      </c>
      <c r="J52" s="6" t="s">
        <v>46</v>
      </c>
      <c r="K52" s="6" t="s">
        <v>47</v>
      </c>
      <c r="L52" s="6" t="s">
        <v>314</v>
      </c>
      <c r="M52" s="6" t="s">
        <v>49</v>
      </c>
      <c r="N52" s="6" t="s">
        <v>315</v>
      </c>
      <c r="O52" s="6" t="s">
        <v>316</v>
      </c>
      <c r="P52" s="6"/>
    </row>
    <row r="53" spans="1:16" x14ac:dyDescent="0.3">
      <c r="A53" s="7" t="s">
        <v>317</v>
      </c>
      <c r="B53" s="7" t="s">
        <v>318</v>
      </c>
      <c r="C53" s="7" t="s">
        <v>311</v>
      </c>
      <c r="D53" s="7" t="s">
        <v>312</v>
      </c>
      <c r="E53" s="7" t="s">
        <v>319</v>
      </c>
      <c r="F53" s="7" t="s">
        <v>55</v>
      </c>
      <c r="G53" s="7">
        <v>90</v>
      </c>
      <c r="H53" s="7" t="s">
        <v>45</v>
      </c>
      <c r="I53" s="7" t="s">
        <v>11</v>
      </c>
      <c r="J53" s="7" t="s">
        <v>46</v>
      </c>
      <c r="K53" s="7" t="s">
        <v>47</v>
      </c>
      <c r="L53" s="7" t="s">
        <v>320</v>
      </c>
      <c r="M53" s="7" t="s">
        <v>49</v>
      </c>
      <c r="N53" s="7" t="s">
        <v>321</v>
      </c>
      <c r="O53" s="7" t="s">
        <v>322</v>
      </c>
      <c r="P53" s="7"/>
    </row>
    <row r="54" spans="1:16" x14ac:dyDescent="0.3">
      <c r="A54" s="6" t="s">
        <v>323</v>
      </c>
      <c r="B54" s="6" t="s">
        <v>324</v>
      </c>
      <c r="C54" s="6" t="s">
        <v>311</v>
      </c>
      <c r="D54" s="6" t="s">
        <v>312</v>
      </c>
      <c r="E54" s="6" t="s">
        <v>325</v>
      </c>
      <c r="F54" s="6" t="s">
        <v>55</v>
      </c>
      <c r="G54" s="6">
        <v>60</v>
      </c>
      <c r="H54" s="6" t="s">
        <v>56</v>
      </c>
      <c r="I54" s="6" t="s">
        <v>11</v>
      </c>
      <c r="J54" s="6" t="s">
        <v>46</v>
      </c>
      <c r="K54" s="6" t="s">
        <v>47</v>
      </c>
      <c r="L54" s="6" t="s">
        <v>166</v>
      </c>
      <c r="M54" s="6" t="s">
        <v>49</v>
      </c>
      <c r="N54" s="6" t="s">
        <v>326</v>
      </c>
      <c r="O54" s="6" t="s">
        <v>327</v>
      </c>
      <c r="P54" s="6"/>
    </row>
    <row r="55" spans="1:16" x14ac:dyDescent="0.3">
      <c r="A55" s="7" t="s">
        <v>328</v>
      </c>
      <c r="B55" s="7" t="s">
        <v>329</v>
      </c>
      <c r="C55" s="7" t="s">
        <v>311</v>
      </c>
      <c r="D55" s="7" t="s">
        <v>312</v>
      </c>
      <c r="E55" s="7" t="s">
        <v>330</v>
      </c>
      <c r="F55" s="7" t="s">
        <v>55</v>
      </c>
      <c r="G55" s="7">
        <v>55</v>
      </c>
      <c r="H55" s="7" t="s">
        <v>45</v>
      </c>
      <c r="I55" s="7" t="s">
        <v>11</v>
      </c>
      <c r="J55" s="7" t="s">
        <v>46</v>
      </c>
      <c r="K55" s="7" t="s">
        <v>47</v>
      </c>
      <c r="L55" s="7" t="s">
        <v>98</v>
      </c>
      <c r="M55" s="7" t="s">
        <v>49</v>
      </c>
      <c r="N55" s="7" t="s">
        <v>331</v>
      </c>
      <c r="O55" s="7" t="s">
        <v>332</v>
      </c>
      <c r="P55" s="7"/>
    </row>
    <row r="56" spans="1:16" x14ac:dyDescent="0.3">
      <c r="A56" s="6" t="s">
        <v>333</v>
      </c>
      <c r="B56" s="6" t="s">
        <v>334</v>
      </c>
      <c r="C56" s="6" t="s">
        <v>311</v>
      </c>
      <c r="D56" s="6" t="s">
        <v>335</v>
      </c>
      <c r="E56" s="6" t="s">
        <v>336</v>
      </c>
      <c r="F56" s="6" t="s">
        <v>55</v>
      </c>
      <c r="G56" s="6">
        <v>40</v>
      </c>
      <c r="H56" s="6" t="s">
        <v>76</v>
      </c>
      <c r="I56" s="6" t="s">
        <v>11</v>
      </c>
      <c r="J56" s="6" t="s">
        <v>46</v>
      </c>
      <c r="K56" s="6" t="s">
        <v>47</v>
      </c>
      <c r="L56" s="6" t="s">
        <v>337</v>
      </c>
      <c r="M56" s="6" t="s">
        <v>49</v>
      </c>
      <c r="N56" s="6" t="s">
        <v>338</v>
      </c>
      <c r="O56" s="6" t="s">
        <v>339</v>
      </c>
      <c r="P56" s="6"/>
    </row>
    <row r="57" spans="1:16" x14ac:dyDescent="0.3">
      <c r="A57" s="7" t="s">
        <v>340</v>
      </c>
      <c r="B57" s="7" t="s">
        <v>341</v>
      </c>
      <c r="C57" s="7" t="s">
        <v>311</v>
      </c>
      <c r="D57" s="7" t="s">
        <v>312</v>
      </c>
      <c r="E57" s="7" t="s">
        <v>330</v>
      </c>
      <c r="F57" s="7" t="s">
        <v>44</v>
      </c>
      <c r="G57" s="7">
        <v>75</v>
      </c>
      <c r="H57" s="7" t="s">
        <v>45</v>
      </c>
      <c r="I57" s="7" t="s">
        <v>11</v>
      </c>
      <c r="J57" s="7" t="s">
        <v>46</v>
      </c>
      <c r="K57" s="7" t="s">
        <v>47</v>
      </c>
      <c r="L57" s="7" t="s">
        <v>320</v>
      </c>
      <c r="M57" s="7" t="s">
        <v>49</v>
      </c>
      <c r="N57" s="7" t="s">
        <v>342</v>
      </c>
      <c r="O57" s="7" t="s">
        <v>343</v>
      </c>
      <c r="P57" s="7"/>
    </row>
    <row r="58" spans="1:16" x14ac:dyDescent="0.3">
      <c r="A58" s="6" t="s">
        <v>344</v>
      </c>
      <c r="B58" s="6" t="s">
        <v>345</v>
      </c>
      <c r="C58" s="6" t="s">
        <v>311</v>
      </c>
      <c r="D58" s="6" t="s">
        <v>312</v>
      </c>
      <c r="E58" s="6" t="s">
        <v>346</v>
      </c>
      <c r="F58" s="6" t="s">
        <v>44</v>
      </c>
      <c r="G58" s="6">
        <v>85</v>
      </c>
      <c r="H58" s="6" t="s">
        <v>45</v>
      </c>
      <c r="I58" s="6" t="s">
        <v>11</v>
      </c>
      <c r="J58" s="6" t="s">
        <v>46</v>
      </c>
      <c r="K58" s="6" t="s">
        <v>47</v>
      </c>
      <c r="L58" s="6" t="s">
        <v>98</v>
      </c>
      <c r="M58" s="6" t="s">
        <v>49</v>
      </c>
      <c r="N58" s="6" t="s">
        <v>347</v>
      </c>
      <c r="O58" s="6" t="s">
        <v>348</v>
      </c>
      <c r="P58" s="6"/>
    </row>
    <row r="59" spans="1:16" x14ac:dyDescent="0.3">
      <c r="A59" s="7" t="s">
        <v>349</v>
      </c>
      <c r="B59" s="7" t="s">
        <v>350</v>
      </c>
      <c r="C59" s="7" t="s">
        <v>351</v>
      </c>
      <c r="D59" s="7" t="s">
        <v>352</v>
      </c>
      <c r="E59" s="7" t="s">
        <v>353</v>
      </c>
      <c r="F59" s="7" t="s">
        <v>55</v>
      </c>
      <c r="G59" s="7">
        <v>45</v>
      </c>
      <c r="H59" s="7" t="s">
        <v>76</v>
      </c>
      <c r="I59" s="7" t="s">
        <v>11</v>
      </c>
      <c r="J59" s="7" t="s">
        <v>46</v>
      </c>
      <c r="K59" s="7" t="s">
        <v>47</v>
      </c>
      <c r="L59" s="7" t="s">
        <v>77</v>
      </c>
      <c r="M59" s="7" t="s">
        <v>49</v>
      </c>
      <c r="N59" s="7" t="s">
        <v>354</v>
      </c>
      <c r="O59" s="7" t="s">
        <v>355</v>
      </c>
      <c r="P59" s="7"/>
    </row>
    <row r="60" spans="1:16" x14ac:dyDescent="0.3">
      <c r="A60" s="6" t="s">
        <v>356</v>
      </c>
      <c r="B60" s="6" t="s">
        <v>357</v>
      </c>
      <c r="C60" s="6" t="s">
        <v>311</v>
      </c>
      <c r="D60" s="6" t="s">
        <v>335</v>
      </c>
      <c r="E60" s="6" t="s">
        <v>358</v>
      </c>
      <c r="F60" s="6" t="s">
        <v>55</v>
      </c>
      <c r="G60" s="6">
        <v>25</v>
      </c>
      <c r="H60" s="6" t="s">
        <v>76</v>
      </c>
      <c r="I60" s="6" t="s">
        <v>11</v>
      </c>
      <c r="J60" s="6" t="s">
        <v>46</v>
      </c>
      <c r="K60" s="6" t="s">
        <v>47</v>
      </c>
      <c r="L60" s="6" t="s">
        <v>98</v>
      </c>
      <c r="M60" s="6" t="s">
        <v>49</v>
      </c>
      <c r="N60" s="6" t="s">
        <v>359</v>
      </c>
      <c r="O60" s="6" t="s">
        <v>360</v>
      </c>
      <c r="P60" s="6"/>
    </row>
    <row r="61" spans="1:16" x14ac:dyDescent="0.3">
      <c r="A61" s="7" t="s">
        <v>361</v>
      </c>
      <c r="B61" s="7" t="s">
        <v>362</v>
      </c>
      <c r="C61" s="7" t="s">
        <v>311</v>
      </c>
      <c r="D61" s="7" t="s">
        <v>335</v>
      </c>
      <c r="E61" s="7" t="s">
        <v>363</v>
      </c>
      <c r="F61" s="7" t="s">
        <v>55</v>
      </c>
      <c r="G61" s="7">
        <v>30</v>
      </c>
      <c r="H61" s="7" t="s">
        <v>76</v>
      </c>
      <c r="I61" s="7" t="s">
        <v>11</v>
      </c>
      <c r="J61" s="7" t="s">
        <v>46</v>
      </c>
      <c r="K61" s="7" t="s">
        <v>47</v>
      </c>
      <c r="L61" s="7" t="s">
        <v>131</v>
      </c>
      <c r="M61" s="7" t="s">
        <v>49</v>
      </c>
      <c r="N61" s="7" t="s">
        <v>364</v>
      </c>
      <c r="O61" s="7" t="s">
        <v>365</v>
      </c>
      <c r="P61" s="7"/>
    </row>
    <row r="62" spans="1:16" x14ac:dyDescent="0.3">
      <c r="A62" s="6" t="s">
        <v>366</v>
      </c>
      <c r="B62" s="6" t="s">
        <v>367</v>
      </c>
      <c r="C62" s="6" t="s">
        <v>311</v>
      </c>
      <c r="D62" s="6" t="s">
        <v>312</v>
      </c>
      <c r="E62" s="6" t="s">
        <v>325</v>
      </c>
      <c r="F62" s="6" t="s">
        <v>55</v>
      </c>
      <c r="G62" s="6">
        <v>50</v>
      </c>
      <c r="H62" s="6" t="s">
        <v>45</v>
      </c>
      <c r="I62" s="6" t="s">
        <v>11</v>
      </c>
      <c r="J62" s="6" t="s">
        <v>46</v>
      </c>
      <c r="K62" s="6" t="s">
        <v>47</v>
      </c>
      <c r="L62" s="6" t="s">
        <v>98</v>
      </c>
      <c r="M62" s="6" t="s">
        <v>49</v>
      </c>
      <c r="N62" s="6" t="s">
        <v>368</v>
      </c>
      <c r="O62" s="6" t="s">
        <v>369</v>
      </c>
      <c r="P62" s="6"/>
    </row>
    <row r="63" spans="1:16" x14ac:dyDescent="0.3">
      <c r="A63" s="7" t="s">
        <v>370</v>
      </c>
      <c r="B63" s="7" t="s">
        <v>371</v>
      </c>
      <c r="C63" s="7" t="s">
        <v>311</v>
      </c>
      <c r="D63" s="7" t="s">
        <v>372</v>
      </c>
      <c r="E63" s="7" t="s">
        <v>313</v>
      </c>
      <c r="F63" s="7" t="s">
        <v>55</v>
      </c>
      <c r="G63" s="7">
        <v>35</v>
      </c>
      <c r="H63" s="7" t="s">
        <v>76</v>
      </c>
      <c r="I63" s="7" t="s">
        <v>11</v>
      </c>
      <c r="J63" s="7" t="s">
        <v>46</v>
      </c>
      <c r="K63" s="7" t="s">
        <v>47</v>
      </c>
      <c r="L63" s="7" t="s">
        <v>125</v>
      </c>
      <c r="M63" s="7" t="s">
        <v>49</v>
      </c>
      <c r="N63" s="7" t="s">
        <v>373</v>
      </c>
      <c r="O63" s="7" t="s">
        <v>374</v>
      </c>
      <c r="P63" s="7"/>
    </row>
    <row r="64" spans="1:16" x14ac:dyDescent="0.3">
      <c r="A64" s="6" t="s">
        <v>375</v>
      </c>
      <c r="B64" s="6" t="s">
        <v>376</v>
      </c>
      <c r="C64" s="6" t="s">
        <v>311</v>
      </c>
      <c r="D64" s="6" t="s">
        <v>335</v>
      </c>
      <c r="E64" s="6" t="s">
        <v>377</v>
      </c>
      <c r="F64" s="6" t="s">
        <v>55</v>
      </c>
      <c r="G64" s="6">
        <v>20</v>
      </c>
      <c r="H64" s="6" t="s">
        <v>76</v>
      </c>
      <c r="I64" s="6" t="s">
        <v>11</v>
      </c>
      <c r="J64" s="6" t="s">
        <v>46</v>
      </c>
      <c r="K64" s="6" t="s">
        <v>47</v>
      </c>
      <c r="L64" s="6" t="s">
        <v>378</v>
      </c>
      <c r="M64" s="6" t="s">
        <v>49</v>
      </c>
      <c r="N64" s="6" t="s">
        <v>379</v>
      </c>
      <c r="O64" s="6" t="s">
        <v>380</v>
      </c>
      <c r="P64" s="6"/>
    </row>
    <row r="65" spans="1:16" x14ac:dyDescent="0.3">
      <c r="A65" s="7" t="s">
        <v>381</v>
      </c>
      <c r="B65" s="7" t="s">
        <v>382</v>
      </c>
      <c r="C65" s="7" t="s">
        <v>383</v>
      </c>
      <c r="D65" s="7" t="s">
        <v>384</v>
      </c>
      <c r="E65" s="7" t="s">
        <v>385</v>
      </c>
      <c r="F65" s="7" t="s">
        <v>55</v>
      </c>
      <c r="G65" s="7">
        <v>18</v>
      </c>
      <c r="H65" s="7" t="s">
        <v>76</v>
      </c>
      <c r="I65" s="7" t="s">
        <v>11</v>
      </c>
      <c r="J65" s="7" t="s">
        <v>46</v>
      </c>
      <c r="K65" s="7" t="s">
        <v>47</v>
      </c>
      <c r="L65" s="7" t="s">
        <v>54</v>
      </c>
      <c r="M65" s="7" t="s">
        <v>49</v>
      </c>
      <c r="N65" s="7" t="s">
        <v>386</v>
      </c>
      <c r="O65" s="7" t="s">
        <v>387</v>
      </c>
      <c r="P65" s="7"/>
    </row>
    <row r="66" spans="1:16" x14ac:dyDescent="0.3">
      <c r="A66" s="6" t="s">
        <v>388</v>
      </c>
      <c r="B66" s="6" t="s">
        <v>389</v>
      </c>
      <c r="C66" s="6" t="s">
        <v>311</v>
      </c>
      <c r="D66" s="6" t="s">
        <v>312</v>
      </c>
      <c r="E66" s="6" t="s">
        <v>390</v>
      </c>
      <c r="F66" s="6" t="s">
        <v>55</v>
      </c>
      <c r="G66" s="6">
        <v>38</v>
      </c>
      <c r="H66" s="6" t="s">
        <v>45</v>
      </c>
      <c r="I66" s="6" t="s">
        <v>11</v>
      </c>
      <c r="J66" s="6" t="s">
        <v>46</v>
      </c>
      <c r="K66" s="6" t="s">
        <v>47</v>
      </c>
      <c r="L66" s="6" t="s">
        <v>131</v>
      </c>
      <c r="M66" s="6" t="s">
        <v>49</v>
      </c>
      <c r="N66" s="6" t="s">
        <v>391</v>
      </c>
      <c r="O66" s="6" t="s">
        <v>392</v>
      </c>
      <c r="P66" s="6"/>
    </row>
    <row r="67" spans="1:16" x14ac:dyDescent="0.3">
      <c r="A67" s="7" t="s">
        <v>393</v>
      </c>
      <c r="B67" s="7" t="s">
        <v>394</v>
      </c>
      <c r="C67" s="7" t="s">
        <v>311</v>
      </c>
      <c r="D67" s="7" t="s">
        <v>335</v>
      </c>
      <c r="E67" s="7" t="s">
        <v>313</v>
      </c>
      <c r="F67" s="7" t="s">
        <v>55</v>
      </c>
      <c r="G67" s="7">
        <v>22</v>
      </c>
      <c r="H67" s="7" t="s">
        <v>76</v>
      </c>
      <c r="I67" s="7" t="s">
        <v>11</v>
      </c>
      <c r="J67" s="7" t="s">
        <v>46</v>
      </c>
      <c r="K67" s="7" t="s">
        <v>47</v>
      </c>
      <c r="L67" s="7" t="s">
        <v>395</v>
      </c>
      <c r="M67" s="7" t="s">
        <v>49</v>
      </c>
      <c r="N67" s="7" t="s">
        <v>396</v>
      </c>
      <c r="O67" s="7" t="s">
        <v>397</v>
      </c>
      <c r="P67" s="7"/>
    </row>
    <row r="68" spans="1:16" x14ac:dyDescent="0.3">
      <c r="A68" s="6" t="s">
        <v>398</v>
      </c>
      <c r="B68" s="6" t="s">
        <v>399</v>
      </c>
      <c r="C68" s="6" t="s">
        <v>383</v>
      </c>
      <c r="D68" s="6" t="s">
        <v>384</v>
      </c>
      <c r="E68" s="6" t="s">
        <v>400</v>
      </c>
      <c r="F68" s="6" t="s">
        <v>44</v>
      </c>
      <c r="G68" s="6">
        <v>85</v>
      </c>
      <c r="H68" s="6" t="s">
        <v>45</v>
      </c>
      <c r="I68" s="6" t="s">
        <v>11</v>
      </c>
      <c r="J68" s="6" t="s">
        <v>84</v>
      </c>
      <c r="K68" s="6" t="s">
        <v>47</v>
      </c>
      <c r="L68" s="6" t="s">
        <v>77</v>
      </c>
      <c r="M68" s="6" t="s">
        <v>49</v>
      </c>
      <c r="N68" s="6" t="s">
        <v>401</v>
      </c>
      <c r="O68" s="6" t="s">
        <v>402</v>
      </c>
      <c r="P68" s="6"/>
    </row>
    <row r="69" spans="1:16" x14ac:dyDescent="0.3">
      <c r="A69" s="7" t="s">
        <v>403</v>
      </c>
      <c r="B69" s="7" t="s">
        <v>404</v>
      </c>
      <c r="C69" s="7" t="s">
        <v>383</v>
      </c>
      <c r="D69" s="7" t="s">
        <v>384</v>
      </c>
      <c r="E69" s="7" t="s">
        <v>385</v>
      </c>
      <c r="F69" s="7" t="s">
        <v>55</v>
      </c>
      <c r="G69" s="7">
        <v>28</v>
      </c>
      <c r="H69" s="7" t="s">
        <v>76</v>
      </c>
      <c r="I69" s="7" t="s">
        <v>11</v>
      </c>
      <c r="J69" s="7" t="s">
        <v>46</v>
      </c>
      <c r="K69" s="7" t="s">
        <v>47</v>
      </c>
      <c r="L69" s="7" t="s">
        <v>54</v>
      </c>
      <c r="M69" s="7" t="s">
        <v>49</v>
      </c>
      <c r="N69" s="7" t="s">
        <v>405</v>
      </c>
      <c r="O69" s="7" t="s">
        <v>406</v>
      </c>
      <c r="P69" s="7"/>
    </row>
    <row r="70" spans="1:16" x14ac:dyDescent="0.3">
      <c r="A70" s="6" t="s">
        <v>407</v>
      </c>
      <c r="B70" s="6" t="s">
        <v>408</v>
      </c>
      <c r="C70" s="6" t="s">
        <v>383</v>
      </c>
      <c r="D70" s="6" t="s">
        <v>384</v>
      </c>
      <c r="E70" s="6" t="s">
        <v>237</v>
      </c>
      <c r="F70" s="6" t="s">
        <v>44</v>
      </c>
      <c r="G70" s="6">
        <v>70</v>
      </c>
      <c r="H70" s="6" t="s">
        <v>45</v>
      </c>
      <c r="I70" s="6" t="s">
        <v>11</v>
      </c>
      <c r="J70" s="6" t="s">
        <v>84</v>
      </c>
      <c r="K70" s="6" t="s">
        <v>47</v>
      </c>
      <c r="L70" s="6" t="s">
        <v>409</v>
      </c>
      <c r="M70" s="6" t="s">
        <v>49</v>
      </c>
      <c r="N70" s="6" t="s">
        <v>410</v>
      </c>
      <c r="O70" s="6" t="s">
        <v>411</v>
      </c>
      <c r="P70" s="6"/>
    </row>
    <row r="71" spans="1:16" x14ac:dyDescent="0.3">
      <c r="A71" s="7" t="s">
        <v>412</v>
      </c>
      <c r="B71" s="7" t="s">
        <v>413</v>
      </c>
      <c r="C71" s="7" t="s">
        <v>311</v>
      </c>
      <c r="D71" s="7" t="s">
        <v>372</v>
      </c>
      <c r="E71" s="7" t="s">
        <v>414</v>
      </c>
      <c r="F71" s="7" t="s">
        <v>44</v>
      </c>
      <c r="G71" s="7">
        <v>95</v>
      </c>
      <c r="H71" s="7" t="s">
        <v>45</v>
      </c>
      <c r="I71" s="7" t="s">
        <v>11</v>
      </c>
      <c r="J71" s="7" t="s">
        <v>46</v>
      </c>
      <c r="K71" s="7" t="s">
        <v>47</v>
      </c>
      <c r="L71" s="7" t="s">
        <v>378</v>
      </c>
      <c r="M71" s="7" t="s">
        <v>49</v>
      </c>
      <c r="N71" s="7" t="s">
        <v>415</v>
      </c>
      <c r="O71" s="7" t="s">
        <v>416</v>
      </c>
      <c r="P71" s="7"/>
    </row>
    <row r="72" spans="1:16" x14ac:dyDescent="0.3">
      <c r="A72" s="6" t="s">
        <v>417</v>
      </c>
      <c r="B72" s="6" t="s">
        <v>418</v>
      </c>
      <c r="C72" s="6" t="s">
        <v>311</v>
      </c>
      <c r="D72" s="6" t="s">
        <v>335</v>
      </c>
      <c r="E72" s="6" t="s">
        <v>171</v>
      </c>
      <c r="F72" s="6" t="s">
        <v>55</v>
      </c>
      <c r="G72" s="6">
        <v>18</v>
      </c>
      <c r="H72" s="6" t="s">
        <v>76</v>
      </c>
      <c r="I72" s="6" t="s">
        <v>11</v>
      </c>
      <c r="J72" s="6" t="s">
        <v>46</v>
      </c>
      <c r="K72" s="6" t="s">
        <v>47</v>
      </c>
      <c r="L72" s="6" t="s">
        <v>77</v>
      </c>
      <c r="M72" s="6" t="s">
        <v>49</v>
      </c>
      <c r="N72" s="6" t="s">
        <v>419</v>
      </c>
      <c r="O72" s="6" t="s">
        <v>420</v>
      </c>
      <c r="P72" s="6"/>
    </row>
    <row r="73" spans="1:16" x14ac:dyDescent="0.3">
      <c r="A73" s="7" t="s">
        <v>421</v>
      </c>
      <c r="B73" s="7" t="s">
        <v>422</v>
      </c>
      <c r="C73" s="7" t="s">
        <v>383</v>
      </c>
      <c r="D73" s="7" t="s">
        <v>384</v>
      </c>
      <c r="E73" s="7" t="s">
        <v>423</v>
      </c>
      <c r="F73" s="7" t="s">
        <v>55</v>
      </c>
      <c r="G73" s="7">
        <v>32</v>
      </c>
      <c r="H73" s="7" t="s">
        <v>76</v>
      </c>
      <c r="I73" s="7" t="s">
        <v>11</v>
      </c>
      <c r="J73" s="7" t="s">
        <v>46</v>
      </c>
      <c r="K73" s="7" t="s">
        <v>47</v>
      </c>
      <c r="L73" s="7" t="s">
        <v>91</v>
      </c>
      <c r="M73" s="7" t="s">
        <v>49</v>
      </c>
      <c r="N73" s="7" t="s">
        <v>424</v>
      </c>
      <c r="O73" s="7" t="s">
        <v>425</v>
      </c>
      <c r="P73" s="7"/>
    </row>
    <row r="74" spans="1:16" x14ac:dyDescent="0.3">
      <c r="A74" s="6" t="s">
        <v>426</v>
      </c>
      <c r="B74" s="6" t="s">
        <v>427</v>
      </c>
      <c r="C74" s="6" t="s">
        <v>311</v>
      </c>
      <c r="D74" s="6" t="s">
        <v>335</v>
      </c>
      <c r="E74" s="6" t="s">
        <v>390</v>
      </c>
      <c r="F74" s="6" t="s">
        <v>55</v>
      </c>
      <c r="G74" s="6">
        <v>48</v>
      </c>
      <c r="H74" s="6" t="s">
        <v>45</v>
      </c>
      <c r="I74" s="6" t="s">
        <v>11</v>
      </c>
      <c r="J74" s="6" t="s">
        <v>46</v>
      </c>
      <c r="K74" s="6" t="s">
        <v>47</v>
      </c>
      <c r="L74" s="6" t="s">
        <v>428</v>
      </c>
      <c r="M74" s="6" t="s">
        <v>49</v>
      </c>
      <c r="N74" s="6" t="s">
        <v>429</v>
      </c>
      <c r="O74" s="6" t="s">
        <v>430</v>
      </c>
      <c r="P74" s="6"/>
    </row>
    <row r="75" spans="1:16" x14ac:dyDescent="0.3">
      <c r="A75" s="7" t="s">
        <v>431</v>
      </c>
      <c r="B75" s="7" t="s">
        <v>432</v>
      </c>
      <c r="C75" s="7" t="s">
        <v>383</v>
      </c>
      <c r="D75" s="7" t="s">
        <v>384</v>
      </c>
      <c r="E75" s="7" t="s">
        <v>433</v>
      </c>
      <c r="F75" s="7" t="s">
        <v>55</v>
      </c>
      <c r="G75" s="7">
        <v>40</v>
      </c>
      <c r="H75" s="7" t="s">
        <v>76</v>
      </c>
      <c r="I75" s="7" t="s">
        <v>11</v>
      </c>
      <c r="J75" s="7" t="s">
        <v>46</v>
      </c>
      <c r="K75" s="7" t="s">
        <v>47</v>
      </c>
      <c r="L75" s="7" t="s">
        <v>434</v>
      </c>
      <c r="M75" s="7" t="s">
        <v>49</v>
      </c>
      <c r="N75" s="7" t="s">
        <v>435</v>
      </c>
      <c r="O75" s="7" t="s">
        <v>436</v>
      </c>
      <c r="P75" s="7"/>
    </row>
    <row r="76" spans="1:16" x14ac:dyDescent="0.3">
      <c r="A76" s="6" t="s">
        <v>437</v>
      </c>
      <c r="B76" s="6" t="s">
        <v>438</v>
      </c>
      <c r="C76" s="6" t="s">
        <v>311</v>
      </c>
      <c r="D76" s="6" t="s">
        <v>439</v>
      </c>
      <c r="E76" s="6" t="s">
        <v>440</v>
      </c>
      <c r="F76" s="6" t="s">
        <v>44</v>
      </c>
      <c r="G76" s="6">
        <v>75</v>
      </c>
      <c r="H76" s="6" t="s">
        <v>45</v>
      </c>
      <c r="I76" s="6" t="s">
        <v>11</v>
      </c>
      <c r="J76" s="6" t="s">
        <v>46</v>
      </c>
      <c r="K76" s="6" t="s">
        <v>47</v>
      </c>
      <c r="L76" s="6" t="s">
        <v>77</v>
      </c>
      <c r="M76" s="6" t="s">
        <v>49</v>
      </c>
      <c r="N76" s="6" t="s">
        <v>441</v>
      </c>
      <c r="O76" s="6" t="s">
        <v>442</v>
      </c>
      <c r="P76" s="6"/>
    </row>
    <row r="77" spans="1:16" x14ac:dyDescent="0.3">
      <c r="A77" s="7" t="s">
        <v>443</v>
      </c>
      <c r="B77" s="7" t="s">
        <v>444</v>
      </c>
      <c r="C77" s="7" t="s">
        <v>311</v>
      </c>
      <c r="D77" s="7" t="s">
        <v>335</v>
      </c>
      <c r="E77" s="7" t="s">
        <v>336</v>
      </c>
      <c r="F77" s="7" t="s">
        <v>55</v>
      </c>
      <c r="G77" s="7">
        <v>50</v>
      </c>
      <c r="H77" s="7" t="s">
        <v>76</v>
      </c>
      <c r="I77" s="7" t="s">
        <v>11</v>
      </c>
      <c r="J77" s="7" t="s">
        <v>46</v>
      </c>
      <c r="K77" s="7" t="s">
        <v>47</v>
      </c>
      <c r="L77" s="7" t="s">
        <v>98</v>
      </c>
      <c r="M77" s="7" t="s">
        <v>49</v>
      </c>
      <c r="N77" s="7" t="s">
        <v>445</v>
      </c>
      <c r="O77" s="7" t="s">
        <v>446</v>
      </c>
      <c r="P77" s="7"/>
    </row>
    <row r="78" spans="1:16" x14ac:dyDescent="0.3">
      <c r="A78" s="6" t="s">
        <v>447</v>
      </c>
      <c r="B78" s="6" t="s">
        <v>448</v>
      </c>
      <c r="C78" s="6" t="s">
        <v>311</v>
      </c>
      <c r="D78" s="6" t="s">
        <v>312</v>
      </c>
      <c r="E78" s="6" t="s">
        <v>449</v>
      </c>
      <c r="F78" s="6" t="s">
        <v>44</v>
      </c>
      <c r="G78" s="6">
        <v>98</v>
      </c>
      <c r="H78" s="6" t="s">
        <v>45</v>
      </c>
      <c r="I78" s="6" t="s">
        <v>11</v>
      </c>
      <c r="J78" s="6" t="s">
        <v>46</v>
      </c>
      <c r="K78" s="6" t="s">
        <v>47</v>
      </c>
      <c r="L78" s="6" t="s">
        <v>314</v>
      </c>
      <c r="M78" s="6" t="s">
        <v>49</v>
      </c>
      <c r="N78" s="6" t="s">
        <v>450</v>
      </c>
      <c r="O78" s="6" t="s">
        <v>451</v>
      </c>
      <c r="P78" s="6"/>
    </row>
    <row r="79" spans="1:16" x14ac:dyDescent="0.3">
      <c r="A79" s="7" t="s">
        <v>452</v>
      </c>
      <c r="B79" s="7" t="s">
        <v>453</v>
      </c>
      <c r="C79" s="7" t="s">
        <v>311</v>
      </c>
      <c r="D79" s="7" t="s">
        <v>312</v>
      </c>
      <c r="E79" s="7" t="s">
        <v>336</v>
      </c>
      <c r="F79" s="7" t="s">
        <v>44</v>
      </c>
      <c r="G79" s="7">
        <v>90</v>
      </c>
      <c r="H79" s="7" t="s">
        <v>45</v>
      </c>
      <c r="I79" s="7" t="s">
        <v>11</v>
      </c>
      <c r="J79" s="7" t="s">
        <v>46</v>
      </c>
      <c r="K79" s="7" t="s">
        <v>47</v>
      </c>
      <c r="L79" s="7" t="s">
        <v>337</v>
      </c>
      <c r="M79" s="7" t="s">
        <v>49</v>
      </c>
      <c r="N79" s="7" t="s">
        <v>454</v>
      </c>
      <c r="O79" s="7" t="s">
        <v>455</v>
      </c>
      <c r="P79" s="7"/>
    </row>
    <row r="80" spans="1:16" x14ac:dyDescent="0.3">
      <c r="A80" s="6" t="s">
        <v>456</v>
      </c>
      <c r="B80" s="6" t="s">
        <v>457</v>
      </c>
      <c r="C80" s="6" t="s">
        <v>458</v>
      </c>
      <c r="D80" s="6" t="s">
        <v>458</v>
      </c>
      <c r="E80" s="6" t="s">
        <v>459</v>
      </c>
      <c r="F80" s="6" t="s">
        <v>243</v>
      </c>
      <c r="G80" s="6">
        <v>55</v>
      </c>
      <c r="H80" s="6" t="s">
        <v>45</v>
      </c>
      <c r="I80" s="6" t="s">
        <v>11</v>
      </c>
      <c r="J80" s="6" t="s">
        <v>84</v>
      </c>
      <c r="K80" s="6" t="s">
        <v>47</v>
      </c>
      <c r="L80" s="6" t="s">
        <v>460</v>
      </c>
      <c r="M80" s="6" t="s">
        <v>49</v>
      </c>
      <c r="N80" s="6" t="s">
        <v>461</v>
      </c>
      <c r="O80" s="6" t="s">
        <v>462</v>
      </c>
      <c r="P80" s="6"/>
    </row>
    <row r="81" spans="1:16" x14ac:dyDescent="0.3">
      <c r="A81" s="7" t="s">
        <v>463</v>
      </c>
      <c r="B81" s="7" t="s">
        <v>464</v>
      </c>
      <c r="C81" s="7" t="s">
        <v>311</v>
      </c>
      <c r="D81" s="7" t="s">
        <v>312</v>
      </c>
      <c r="E81" s="7" t="s">
        <v>465</v>
      </c>
      <c r="F81" s="7" t="s">
        <v>44</v>
      </c>
      <c r="G81" s="7">
        <v>95</v>
      </c>
      <c r="H81" s="7" t="s">
        <v>45</v>
      </c>
      <c r="I81" s="7" t="s">
        <v>11</v>
      </c>
      <c r="J81" s="7" t="s">
        <v>46</v>
      </c>
      <c r="K81" s="7" t="s">
        <v>47</v>
      </c>
      <c r="L81" s="7" t="s">
        <v>115</v>
      </c>
      <c r="M81" s="7" t="s">
        <v>49</v>
      </c>
      <c r="N81" s="7" t="s">
        <v>466</v>
      </c>
      <c r="O81" s="7" t="s">
        <v>467</v>
      </c>
      <c r="P81" s="7"/>
    </row>
    <row r="82" spans="1:16" x14ac:dyDescent="0.3">
      <c r="A82" s="6" t="s">
        <v>468</v>
      </c>
      <c r="B82" s="6" t="s">
        <v>469</v>
      </c>
      <c r="C82" s="6" t="s">
        <v>311</v>
      </c>
      <c r="D82" s="6" t="s">
        <v>312</v>
      </c>
      <c r="E82" s="6" t="s">
        <v>358</v>
      </c>
      <c r="F82" s="6" t="s">
        <v>55</v>
      </c>
      <c r="G82" s="6">
        <v>35</v>
      </c>
      <c r="H82" s="6" t="s">
        <v>76</v>
      </c>
      <c r="I82" s="6" t="s">
        <v>11</v>
      </c>
      <c r="J82" s="6" t="s">
        <v>46</v>
      </c>
      <c r="K82" s="6" t="s">
        <v>47</v>
      </c>
      <c r="L82" s="6" t="s">
        <v>98</v>
      </c>
      <c r="M82" s="6" t="s">
        <v>49</v>
      </c>
      <c r="N82" s="6" t="s">
        <v>470</v>
      </c>
      <c r="O82" s="6" t="s">
        <v>471</v>
      </c>
      <c r="P82" s="6"/>
    </row>
    <row r="83" spans="1:16" x14ac:dyDescent="0.3">
      <c r="A83" s="7" t="s">
        <v>472</v>
      </c>
      <c r="B83" s="7" t="s">
        <v>473</v>
      </c>
      <c r="C83" s="7" t="s">
        <v>383</v>
      </c>
      <c r="D83" s="7" t="s">
        <v>384</v>
      </c>
      <c r="E83" s="7" t="s">
        <v>325</v>
      </c>
      <c r="F83" s="7" t="s">
        <v>55</v>
      </c>
      <c r="G83" s="7">
        <v>42</v>
      </c>
      <c r="H83" s="7" t="s">
        <v>45</v>
      </c>
      <c r="I83" s="7" t="s">
        <v>11</v>
      </c>
      <c r="J83" s="7" t="s">
        <v>46</v>
      </c>
      <c r="K83" s="7" t="s">
        <v>47</v>
      </c>
      <c r="L83" s="7" t="s">
        <v>320</v>
      </c>
      <c r="M83" s="7" t="s">
        <v>49</v>
      </c>
      <c r="N83" s="7" t="s">
        <v>474</v>
      </c>
      <c r="O83" s="7" t="s">
        <v>475</v>
      </c>
      <c r="P83" s="7"/>
    </row>
    <row r="84" spans="1:16" x14ac:dyDescent="0.3">
      <c r="A84" s="6" t="s">
        <v>476</v>
      </c>
      <c r="B84" s="6" t="s">
        <v>477</v>
      </c>
      <c r="C84" s="6" t="s">
        <v>478</v>
      </c>
      <c r="D84" s="6" t="s">
        <v>479</v>
      </c>
      <c r="E84" s="6" t="s">
        <v>336</v>
      </c>
      <c r="F84" s="6" t="s">
        <v>55</v>
      </c>
      <c r="G84" s="6">
        <v>28</v>
      </c>
      <c r="H84" s="6" t="s">
        <v>76</v>
      </c>
      <c r="I84" s="6" t="s">
        <v>11</v>
      </c>
      <c r="J84" s="6" t="s">
        <v>46</v>
      </c>
      <c r="K84" s="6" t="s">
        <v>47</v>
      </c>
      <c r="L84" s="6" t="s">
        <v>77</v>
      </c>
      <c r="M84" s="6" t="s">
        <v>49</v>
      </c>
      <c r="N84" s="6" t="s">
        <v>480</v>
      </c>
      <c r="O84" s="6" t="s">
        <v>481</v>
      </c>
      <c r="P84" s="6"/>
    </row>
    <row r="85" spans="1:16" x14ac:dyDescent="0.3">
      <c r="A85" s="7" t="s">
        <v>482</v>
      </c>
      <c r="B85" s="7" t="s">
        <v>483</v>
      </c>
      <c r="C85" s="7" t="s">
        <v>311</v>
      </c>
      <c r="D85" s="7" t="s">
        <v>372</v>
      </c>
      <c r="E85" s="7" t="s">
        <v>358</v>
      </c>
      <c r="F85" s="7" t="s">
        <v>44</v>
      </c>
      <c r="G85" s="7">
        <v>65</v>
      </c>
      <c r="H85" s="7" t="s">
        <v>45</v>
      </c>
      <c r="I85" s="7" t="s">
        <v>11</v>
      </c>
      <c r="J85" s="7" t="s">
        <v>46</v>
      </c>
      <c r="K85" s="7" t="s">
        <v>47</v>
      </c>
      <c r="L85" s="7" t="s">
        <v>409</v>
      </c>
      <c r="M85" s="7" t="s">
        <v>49</v>
      </c>
      <c r="N85" s="7" t="s">
        <v>484</v>
      </c>
      <c r="O85" s="7" t="s">
        <v>485</v>
      </c>
      <c r="P85" s="7"/>
    </row>
    <row r="86" spans="1:16" x14ac:dyDescent="0.3">
      <c r="A86" s="6" t="s">
        <v>486</v>
      </c>
      <c r="B86" s="6" t="s">
        <v>487</v>
      </c>
      <c r="C86" s="6" t="s">
        <v>351</v>
      </c>
      <c r="D86" s="6" t="s">
        <v>488</v>
      </c>
      <c r="E86" s="6" t="s">
        <v>489</v>
      </c>
      <c r="F86" s="6" t="s">
        <v>243</v>
      </c>
      <c r="G86" s="6">
        <v>80</v>
      </c>
      <c r="H86" s="6" t="s">
        <v>45</v>
      </c>
      <c r="I86" s="6" t="s">
        <v>11</v>
      </c>
      <c r="J86" s="6" t="s">
        <v>84</v>
      </c>
      <c r="K86" s="6" t="s">
        <v>47</v>
      </c>
      <c r="L86" s="6" t="s">
        <v>104</v>
      </c>
      <c r="M86" s="6" t="s">
        <v>49</v>
      </c>
      <c r="N86" s="6" t="s">
        <v>490</v>
      </c>
      <c r="O86" s="6" t="s">
        <v>491</v>
      </c>
      <c r="P86" s="6"/>
    </row>
    <row r="87" spans="1:16" x14ac:dyDescent="0.3">
      <c r="A87" s="7" t="s">
        <v>492</v>
      </c>
      <c r="B87" s="7" t="s">
        <v>493</v>
      </c>
      <c r="C87" s="7" t="s">
        <v>311</v>
      </c>
      <c r="D87" s="7" t="s">
        <v>335</v>
      </c>
      <c r="E87" s="7" t="s">
        <v>358</v>
      </c>
      <c r="F87" s="7" t="s">
        <v>55</v>
      </c>
      <c r="G87" s="7">
        <v>20</v>
      </c>
      <c r="H87" s="7" t="s">
        <v>76</v>
      </c>
      <c r="I87" s="7" t="s">
        <v>11</v>
      </c>
      <c r="J87" s="7" t="s">
        <v>46</v>
      </c>
      <c r="K87" s="7" t="s">
        <v>47</v>
      </c>
      <c r="L87" s="7" t="s">
        <v>77</v>
      </c>
      <c r="M87" s="7" t="s">
        <v>49</v>
      </c>
      <c r="N87" s="7" t="s">
        <v>494</v>
      </c>
      <c r="O87" s="7" t="s">
        <v>495</v>
      </c>
      <c r="P87" s="7"/>
    </row>
    <row r="88" spans="1:16" x14ac:dyDescent="0.3">
      <c r="A88" s="6" t="s">
        <v>496</v>
      </c>
      <c r="B88" s="6" t="s">
        <v>497</v>
      </c>
      <c r="C88" s="6" t="s">
        <v>311</v>
      </c>
      <c r="D88" s="6" t="s">
        <v>312</v>
      </c>
      <c r="E88" s="6" t="s">
        <v>498</v>
      </c>
      <c r="F88" s="6" t="s">
        <v>55</v>
      </c>
      <c r="G88" s="6">
        <v>45</v>
      </c>
      <c r="H88" s="6" t="s">
        <v>45</v>
      </c>
      <c r="I88" s="6" t="s">
        <v>11</v>
      </c>
      <c r="J88" s="6" t="s">
        <v>46</v>
      </c>
      <c r="K88" s="6" t="s">
        <v>47</v>
      </c>
      <c r="L88" s="6" t="s">
        <v>98</v>
      </c>
      <c r="M88" s="6" t="s">
        <v>49</v>
      </c>
      <c r="N88" s="6" t="s">
        <v>499</v>
      </c>
      <c r="O88" s="6" t="s">
        <v>500</v>
      </c>
      <c r="P88" s="6"/>
    </row>
    <row r="89" spans="1:16" x14ac:dyDescent="0.3">
      <c r="A89" s="7" t="s">
        <v>501</v>
      </c>
      <c r="B89" s="7" t="s">
        <v>502</v>
      </c>
      <c r="C89" s="7" t="s">
        <v>311</v>
      </c>
      <c r="D89" s="7" t="s">
        <v>335</v>
      </c>
      <c r="E89" s="7" t="s">
        <v>503</v>
      </c>
      <c r="F89" s="7" t="s">
        <v>55</v>
      </c>
      <c r="G89" s="7">
        <v>15</v>
      </c>
      <c r="H89" s="7" t="s">
        <v>76</v>
      </c>
      <c r="I89" s="7" t="s">
        <v>11</v>
      </c>
      <c r="J89" s="7" t="s">
        <v>46</v>
      </c>
      <c r="K89" s="7" t="s">
        <v>47</v>
      </c>
      <c r="L89" s="7" t="s">
        <v>91</v>
      </c>
      <c r="M89" s="7" t="s">
        <v>49</v>
      </c>
      <c r="N89" s="7" t="s">
        <v>504</v>
      </c>
      <c r="O89" s="7" t="s">
        <v>505</v>
      </c>
      <c r="P89" s="7"/>
    </row>
    <row r="90" spans="1:16" x14ac:dyDescent="0.3">
      <c r="A90" s="6" t="s">
        <v>506</v>
      </c>
      <c r="B90" s="6" t="s">
        <v>507</v>
      </c>
      <c r="C90" s="6" t="s">
        <v>311</v>
      </c>
      <c r="D90" s="6" t="s">
        <v>335</v>
      </c>
      <c r="E90" s="6" t="s">
        <v>508</v>
      </c>
      <c r="F90" s="6" t="s">
        <v>243</v>
      </c>
      <c r="G90" s="6">
        <v>12</v>
      </c>
      <c r="H90" s="6" t="s">
        <v>76</v>
      </c>
      <c r="I90" s="6" t="s">
        <v>11</v>
      </c>
      <c r="J90" s="6" t="s">
        <v>46</v>
      </c>
      <c r="K90" s="6" t="s">
        <v>47</v>
      </c>
      <c r="L90" s="6" t="s">
        <v>77</v>
      </c>
      <c r="M90" s="6" t="s">
        <v>49</v>
      </c>
      <c r="N90" s="6" t="s">
        <v>509</v>
      </c>
      <c r="O90" s="6" t="s">
        <v>510</v>
      </c>
      <c r="P90" s="6"/>
    </row>
    <row r="91" spans="1:16" x14ac:dyDescent="0.3">
      <c r="A91" s="7" t="s">
        <v>511</v>
      </c>
      <c r="B91" s="7" t="s">
        <v>512</v>
      </c>
      <c r="C91" s="7" t="s">
        <v>311</v>
      </c>
      <c r="D91" s="7" t="s">
        <v>335</v>
      </c>
      <c r="E91" s="7" t="s">
        <v>508</v>
      </c>
      <c r="F91" s="7" t="s">
        <v>243</v>
      </c>
      <c r="G91" s="7">
        <v>18</v>
      </c>
      <c r="H91" s="7" t="s">
        <v>76</v>
      </c>
      <c r="I91" s="7" t="s">
        <v>11</v>
      </c>
      <c r="J91" s="7" t="s">
        <v>46</v>
      </c>
      <c r="K91" s="7" t="s">
        <v>47</v>
      </c>
      <c r="L91" s="7" t="s">
        <v>154</v>
      </c>
      <c r="M91" s="7" t="s">
        <v>49</v>
      </c>
      <c r="N91" s="7" t="s">
        <v>513</v>
      </c>
      <c r="O91" s="7" t="s">
        <v>514</v>
      </c>
      <c r="P91" s="7"/>
    </row>
    <row r="92" spans="1:16" x14ac:dyDescent="0.3">
      <c r="A92" s="6" t="s">
        <v>515</v>
      </c>
      <c r="B92" s="6" t="s">
        <v>516</v>
      </c>
      <c r="C92" s="6" t="s">
        <v>311</v>
      </c>
      <c r="D92" s="6" t="s">
        <v>335</v>
      </c>
      <c r="E92" s="6" t="s">
        <v>465</v>
      </c>
      <c r="F92" s="6" t="s">
        <v>55</v>
      </c>
      <c r="G92" s="6">
        <v>30</v>
      </c>
      <c r="H92" s="6" t="s">
        <v>76</v>
      </c>
      <c r="I92" s="6" t="s">
        <v>11</v>
      </c>
      <c r="J92" s="6" t="s">
        <v>46</v>
      </c>
      <c r="K92" s="6" t="s">
        <v>47</v>
      </c>
      <c r="L92" s="6" t="s">
        <v>77</v>
      </c>
      <c r="M92" s="6" t="s">
        <v>49</v>
      </c>
      <c r="N92" s="6" t="s">
        <v>517</v>
      </c>
      <c r="O92" s="6" t="s">
        <v>518</v>
      </c>
      <c r="P92" s="6"/>
    </row>
    <row r="93" spans="1:16" x14ac:dyDescent="0.3">
      <c r="A93" s="7" t="s">
        <v>519</v>
      </c>
      <c r="B93" s="7" t="s">
        <v>520</v>
      </c>
      <c r="C93" s="7" t="s">
        <v>311</v>
      </c>
      <c r="D93" s="7" t="s">
        <v>372</v>
      </c>
      <c r="E93" s="7" t="s">
        <v>521</v>
      </c>
      <c r="F93" s="7" t="s">
        <v>55</v>
      </c>
      <c r="G93" s="7">
        <v>55</v>
      </c>
      <c r="H93" s="7" t="s">
        <v>45</v>
      </c>
      <c r="I93" s="7" t="s">
        <v>11</v>
      </c>
      <c r="J93" s="7" t="s">
        <v>46</v>
      </c>
      <c r="K93" s="7" t="s">
        <v>47</v>
      </c>
      <c r="L93" s="7" t="s">
        <v>522</v>
      </c>
      <c r="M93" s="7" t="s">
        <v>49</v>
      </c>
      <c r="N93" s="7" t="s">
        <v>523</v>
      </c>
      <c r="O93" s="7" t="s">
        <v>524</v>
      </c>
      <c r="P93" s="7"/>
    </row>
    <row r="94" spans="1:16" x14ac:dyDescent="0.3">
      <c r="A94" s="6" t="s">
        <v>525</v>
      </c>
      <c r="B94" s="6" t="s">
        <v>526</v>
      </c>
      <c r="C94" s="6" t="s">
        <v>311</v>
      </c>
      <c r="D94" s="6" t="s">
        <v>335</v>
      </c>
      <c r="E94" s="6" t="s">
        <v>527</v>
      </c>
      <c r="F94" s="6" t="s">
        <v>55</v>
      </c>
      <c r="G94" s="6">
        <v>22</v>
      </c>
      <c r="H94" s="6" t="s">
        <v>76</v>
      </c>
      <c r="I94" s="6" t="s">
        <v>11</v>
      </c>
      <c r="J94" s="6" t="s">
        <v>46</v>
      </c>
      <c r="K94" s="6" t="s">
        <v>47</v>
      </c>
      <c r="L94" s="6" t="s">
        <v>166</v>
      </c>
      <c r="M94" s="6" t="s">
        <v>49</v>
      </c>
      <c r="N94" s="6" t="s">
        <v>528</v>
      </c>
      <c r="O94" s="6" t="s">
        <v>529</v>
      </c>
      <c r="P94" s="6"/>
    </row>
    <row r="95" spans="1:16" x14ac:dyDescent="0.3">
      <c r="A95" s="7" t="s">
        <v>530</v>
      </c>
      <c r="B95" s="7" t="s">
        <v>531</v>
      </c>
      <c r="C95" s="7" t="s">
        <v>532</v>
      </c>
      <c r="D95" s="7" t="s">
        <v>533</v>
      </c>
      <c r="E95" s="7" t="s">
        <v>534</v>
      </c>
      <c r="F95" s="7" t="s">
        <v>55</v>
      </c>
      <c r="G95" s="7">
        <v>60</v>
      </c>
      <c r="H95" s="7" t="s">
        <v>45</v>
      </c>
      <c r="I95" s="7" t="s">
        <v>11</v>
      </c>
      <c r="J95" s="7" t="s">
        <v>46</v>
      </c>
      <c r="K95" s="7" t="s">
        <v>47</v>
      </c>
      <c r="L95" s="7" t="s">
        <v>98</v>
      </c>
      <c r="M95" s="7" t="s">
        <v>49</v>
      </c>
      <c r="N95" s="7" t="s">
        <v>535</v>
      </c>
      <c r="O95" s="7" t="s">
        <v>536</v>
      </c>
      <c r="P95" s="7"/>
    </row>
    <row r="96" spans="1:16" x14ac:dyDescent="0.3">
      <c r="A96" s="6" t="s">
        <v>537</v>
      </c>
      <c r="B96" s="6" t="s">
        <v>538</v>
      </c>
      <c r="C96" s="6" t="s">
        <v>458</v>
      </c>
      <c r="D96" s="6" t="s">
        <v>458</v>
      </c>
      <c r="E96" s="6" t="s">
        <v>539</v>
      </c>
      <c r="F96" s="6" t="s">
        <v>55</v>
      </c>
      <c r="G96" s="6">
        <v>38</v>
      </c>
      <c r="H96" s="6" t="s">
        <v>45</v>
      </c>
      <c r="I96" s="6" t="s">
        <v>11</v>
      </c>
      <c r="J96" s="6" t="s">
        <v>46</v>
      </c>
      <c r="K96" s="6" t="s">
        <v>47</v>
      </c>
      <c r="L96" s="6" t="s">
        <v>540</v>
      </c>
      <c r="M96" s="6" t="s">
        <v>49</v>
      </c>
      <c r="N96" s="6" t="s">
        <v>541</v>
      </c>
      <c r="O96" s="6" t="s">
        <v>542</v>
      </c>
      <c r="P96" s="6"/>
    </row>
    <row r="97" spans="1:16" x14ac:dyDescent="0.3">
      <c r="A97" s="7" t="s">
        <v>543</v>
      </c>
      <c r="B97" s="7" t="s">
        <v>544</v>
      </c>
      <c r="C97" s="7" t="s">
        <v>311</v>
      </c>
      <c r="D97" s="7" t="s">
        <v>312</v>
      </c>
      <c r="E97" s="7" t="s">
        <v>545</v>
      </c>
      <c r="F97" s="7" t="s">
        <v>44</v>
      </c>
      <c r="G97" s="7">
        <v>90</v>
      </c>
      <c r="H97" s="7" t="s">
        <v>45</v>
      </c>
      <c r="I97" s="7" t="s">
        <v>11</v>
      </c>
      <c r="J97" s="7" t="s">
        <v>84</v>
      </c>
      <c r="K97" s="7" t="s">
        <v>47</v>
      </c>
      <c r="L97" s="7" t="s">
        <v>546</v>
      </c>
      <c r="M97" s="7" t="s">
        <v>49</v>
      </c>
      <c r="N97" s="7" t="s">
        <v>547</v>
      </c>
      <c r="O97" s="7" t="s">
        <v>548</v>
      </c>
      <c r="P97" s="7"/>
    </row>
    <row r="98" spans="1:16" x14ac:dyDescent="0.3">
      <c r="A98" s="6" t="s">
        <v>549</v>
      </c>
      <c r="B98" s="6" t="s">
        <v>550</v>
      </c>
      <c r="C98" s="6" t="s">
        <v>311</v>
      </c>
      <c r="D98" s="6" t="s">
        <v>551</v>
      </c>
      <c r="E98" s="6" t="s">
        <v>552</v>
      </c>
      <c r="F98" s="6" t="s">
        <v>44</v>
      </c>
      <c r="G98" s="6">
        <v>95</v>
      </c>
      <c r="H98" s="6" t="s">
        <v>45</v>
      </c>
      <c r="I98" s="6" t="s">
        <v>11</v>
      </c>
      <c r="J98" s="6" t="s">
        <v>84</v>
      </c>
      <c r="K98" s="6" t="s">
        <v>47</v>
      </c>
      <c r="L98" s="6" t="s">
        <v>409</v>
      </c>
      <c r="M98" s="6" t="s">
        <v>49</v>
      </c>
      <c r="N98" s="6" t="s">
        <v>553</v>
      </c>
      <c r="O98" s="6" t="s">
        <v>554</v>
      </c>
      <c r="P98" s="6"/>
    </row>
    <row r="99" spans="1:16" x14ac:dyDescent="0.3">
      <c r="A99" s="7" t="s">
        <v>555</v>
      </c>
      <c r="B99" s="7" t="s">
        <v>556</v>
      </c>
      <c r="C99" s="7" t="s">
        <v>311</v>
      </c>
      <c r="D99" s="7" t="s">
        <v>557</v>
      </c>
      <c r="E99" s="7" t="s">
        <v>558</v>
      </c>
      <c r="F99" s="7" t="s">
        <v>44</v>
      </c>
      <c r="G99" s="7">
        <v>88</v>
      </c>
      <c r="H99" s="7" t="s">
        <v>45</v>
      </c>
      <c r="I99" s="7" t="s">
        <v>11</v>
      </c>
      <c r="J99" s="7" t="s">
        <v>84</v>
      </c>
      <c r="K99" s="7" t="s">
        <v>47</v>
      </c>
      <c r="L99" s="7" t="s">
        <v>559</v>
      </c>
      <c r="M99" s="7" t="s">
        <v>49</v>
      </c>
      <c r="N99" s="7" t="s">
        <v>560</v>
      </c>
      <c r="O99" s="7" t="s">
        <v>561</v>
      </c>
      <c r="P99" s="7"/>
    </row>
    <row r="100" spans="1:16" x14ac:dyDescent="0.3">
      <c r="A100" s="6" t="s">
        <v>562</v>
      </c>
      <c r="B100" s="6" t="s">
        <v>563</v>
      </c>
      <c r="C100" s="6" t="s">
        <v>311</v>
      </c>
      <c r="D100" s="6" t="s">
        <v>372</v>
      </c>
      <c r="E100" s="6" t="s">
        <v>552</v>
      </c>
      <c r="F100" s="6" t="s">
        <v>55</v>
      </c>
      <c r="G100" s="6">
        <v>50</v>
      </c>
      <c r="H100" s="6" t="s">
        <v>45</v>
      </c>
      <c r="I100" s="6" t="s">
        <v>11</v>
      </c>
      <c r="J100" s="6" t="s">
        <v>46</v>
      </c>
      <c r="K100" s="6" t="s">
        <v>47</v>
      </c>
      <c r="L100" s="6" t="s">
        <v>77</v>
      </c>
      <c r="M100" s="6" t="s">
        <v>49</v>
      </c>
      <c r="N100" s="6" t="s">
        <v>564</v>
      </c>
      <c r="O100" s="6" t="s">
        <v>565</v>
      </c>
      <c r="P100" s="6"/>
    </row>
    <row r="101" spans="1:16" x14ac:dyDescent="0.3">
      <c r="A101" s="7" t="s">
        <v>566</v>
      </c>
      <c r="B101" s="7" t="s">
        <v>567</v>
      </c>
      <c r="C101" s="7" t="s">
        <v>351</v>
      </c>
      <c r="D101" s="7" t="s">
        <v>568</v>
      </c>
      <c r="E101" s="7" t="s">
        <v>569</v>
      </c>
      <c r="F101" s="7" t="s">
        <v>243</v>
      </c>
      <c r="G101" s="7">
        <v>14</v>
      </c>
      <c r="H101" s="7" t="s">
        <v>76</v>
      </c>
      <c r="I101" s="7" t="s">
        <v>11</v>
      </c>
      <c r="J101" s="7" t="s">
        <v>46</v>
      </c>
      <c r="K101" s="7" t="s">
        <v>47</v>
      </c>
      <c r="L101" s="7" t="s">
        <v>91</v>
      </c>
      <c r="M101" s="7" t="s">
        <v>49</v>
      </c>
      <c r="N101" s="7" t="s">
        <v>570</v>
      </c>
      <c r="O101" s="7" t="s">
        <v>571</v>
      </c>
      <c r="P101" s="7"/>
    </row>
    <row r="102" spans="1:16" x14ac:dyDescent="0.3">
      <c r="A102" s="6" t="s">
        <v>572</v>
      </c>
      <c r="B102" s="6" t="s">
        <v>573</v>
      </c>
      <c r="C102" s="6" t="s">
        <v>311</v>
      </c>
      <c r="D102" s="6" t="s">
        <v>335</v>
      </c>
      <c r="E102" s="6" t="s">
        <v>574</v>
      </c>
      <c r="F102" s="6" t="s">
        <v>55</v>
      </c>
      <c r="G102" s="6">
        <v>15</v>
      </c>
      <c r="H102" s="6" t="s">
        <v>76</v>
      </c>
      <c r="I102" s="6" t="s">
        <v>11</v>
      </c>
      <c r="J102" s="6" t="s">
        <v>46</v>
      </c>
      <c r="K102" s="6" t="s">
        <v>47</v>
      </c>
      <c r="L102" s="6" t="s">
        <v>98</v>
      </c>
      <c r="M102" s="6" t="s">
        <v>49</v>
      </c>
      <c r="N102" s="6" t="s">
        <v>575</v>
      </c>
      <c r="O102" s="6" t="s">
        <v>576</v>
      </c>
      <c r="P102" s="6"/>
    </row>
    <row r="103" spans="1:16" x14ac:dyDescent="0.3">
      <c r="A103" s="7" t="s">
        <v>577</v>
      </c>
      <c r="B103" s="7" t="s">
        <v>578</v>
      </c>
      <c r="C103" s="7" t="s">
        <v>311</v>
      </c>
      <c r="D103" s="7" t="s">
        <v>335</v>
      </c>
      <c r="E103" s="7" t="s">
        <v>579</v>
      </c>
      <c r="F103" s="7" t="s">
        <v>55</v>
      </c>
      <c r="G103" s="7">
        <v>20</v>
      </c>
      <c r="H103" s="7" t="s">
        <v>76</v>
      </c>
      <c r="I103" s="7" t="s">
        <v>11</v>
      </c>
      <c r="J103" s="7" t="s">
        <v>46</v>
      </c>
      <c r="K103" s="7" t="s">
        <v>47</v>
      </c>
      <c r="L103" s="7" t="s">
        <v>77</v>
      </c>
      <c r="M103" s="7" t="s">
        <v>49</v>
      </c>
      <c r="N103" s="7" t="s">
        <v>580</v>
      </c>
      <c r="O103" s="7" t="s">
        <v>581</v>
      </c>
      <c r="P103" s="7"/>
    </row>
    <row r="104" spans="1:16" x14ac:dyDescent="0.3">
      <c r="A104" s="6" t="s">
        <v>582</v>
      </c>
      <c r="B104" s="6" t="s">
        <v>583</v>
      </c>
      <c r="C104" s="6" t="s">
        <v>311</v>
      </c>
      <c r="D104" s="6" t="s">
        <v>312</v>
      </c>
      <c r="E104" s="6" t="s">
        <v>353</v>
      </c>
      <c r="F104" s="6" t="s">
        <v>44</v>
      </c>
      <c r="G104" s="6">
        <v>95</v>
      </c>
      <c r="H104" s="6" t="s">
        <v>45</v>
      </c>
      <c r="I104" s="6" t="s">
        <v>11</v>
      </c>
      <c r="J104" s="6" t="s">
        <v>46</v>
      </c>
      <c r="K104" s="6" t="s">
        <v>47</v>
      </c>
      <c r="L104" s="6" t="s">
        <v>584</v>
      </c>
      <c r="M104" s="6" t="s">
        <v>49</v>
      </c>
      <c r="N104" s="6" t="s">
        <v>585</v>
      </c>
      <c r="O104" s="6" t="s">
        <v>586</v>
      </c>
      <c r="P104" s="6"/>
    </row>
    <row r="105" spans="1:16" x14ac:dyDescent="0.3">
      <c r="A105" s="7" t="s">
        <v>587</v>
      </c>
      <c r="B105" s="7" t="s">
        <v>588</v>
      </c>
      <c r="C105" s="7" t="s">
        <v>311</v>
      </c>
      <c r="D105" s="7" t="s">
        <v>335</v>
      </c>
      <c r="E105" s="7" t="s">
        <v>589</v>
      </c>
      <c r="F105" s="7" t="s">
        <v>55</v>
      </c>
      <c r="G105" s="7">
        <v>28</v>
      </c>
      <c r="H105" s="7" t="s">
        <v>76</v>
      </c>
      <c r="I105" s="7" t="s">
        <v>11</v>
      </c>
      <c r="J105" s="7" t="s">
        <v>46</v>
      </c>
      <c r="K105" s="7" t="s">
        <v>47</v>
      </c>
      <c r="L105" s="7" t="s">
        <v>91</v>
      </c>
      <c r="M105" s="7" t="s">
        <v>49</v>
      </c>
      <c r="N105" s="7" t="s">
        <v>590</v>
      </c>
      <c r="O105" s="7" t="s">
        <v>591</v>
      </c>
      <c r="P105" s="7"/>
    </row>
    <row r="106" spans="1:16" x14ac:dyDescent="0.3">
      <c r="A106" s="6" t="s">
        <v>592</v>
      </c>
      <c r="B106" s="6" t="s">
        <v>593</v>
      </c>
      <c r="C106" s="6" t="s">
        <v>41</v>
      </c>
      <c r="D106" s="6" t="s">
        <v>42</v>
      </c>
      <c r="E106" s="6" t="s">
        <v>330</v>
      </c>
      <c r="F106" s="6" t="s">
        <v>55</v>
      </c>
      <c r="G106" s="6">
        <v>25</v>
      </c>
      <c r="H106" s="6" t="s">
        <v>76</v>
      </c>
      <c r="I106" s="6" t="s">
        <v>11</v>
      </c>
      <c r="J106" s="6" t="s">
        <v>46</v>
      </c>
      <c r="K106" s="6" t="s">
        <v>47</v>
      </c>
      <c r="L106" s="6" t="s">
        <v>77</v>
      </c>
      <c r="M106" s="6" t="s">
        <v>49</v>
      </c>
      <c r="N106" s="6" t="s">
        <v>594</v>
      </c>
      <c r="O106" s="6" t="s">
        <v>595</v>
      </c>
      <c r="P106" s="6"/>
    </row>
    <row r="107" spans="1:16" x14ac:dyDescent="0.3">
      <c r="A107" s="7" t="s">
        <v>596</v>
      </c>
      <c r="B107" s="7" t="s">
        <v>597</v>
      </c>
      <c r="C107" s="7" t="s">
        <v>311</v>
      </c>
      <c r="D107" s="7" t="s">
        <v>312</v>
      </c>
      <c r="E107" s="7" t="s">
        <v>325</v>
      </c>
      <c r="F107" s="7" t="s">
        <v>44</v>
      </c>
      <c r="G107" s="7">
        <v>95</v>
      </c>
      <c r="H107" s="7" t="s">
        <v>45</v>
      </c>
      <c r="I107" s="7" t="s">
        <v>11</v>
      </c>
      <c r="J107" s="7" t="s">
        <v>46</v>
      </c>
      <c r="K107" s="7" t="s">
        <v>47</v>
      </c>
      <c r="L107" s="7" t="s">
        <v>598</v>
      </c>
      <c r="M107" s="7" t="s">
        <v>49</v>
      </c>
      <c r="N107" s="7" t="s">
        <v>599</v>
      </c>
      <c r="O107" s="7" t="s">
        <v>600</v>
      </c>
      <c r="P107" s="7"/>
    </row>
    <row r="108" spans="1:16" x14ac:dyDescent="0.3">
      <c r="A108" s="6" t="s">
        <v>601</v>
      </c>
      <c r="B108" s="6" t="s">
        <v>602</v>
      </c>
      <c r="C108" s="6" t="s">
        <v>311</v>
      </c>
      <c r="D108" s="6" t="s">
        <v>335</v>
      </c>
      <c r="E108" s="6" t="s">
        <v>603</v>
      </c>
      <c r="F108" s="6" t="s">
        <v>55</v>
      </c>
      <c r="G108" s="6">
        <v>30</v>
      </c>
      <c r="H108" s="6" t="s">
        <v>76</v>
      </c>
      <c r="I108" s="6" t="s">
        <v>11</v>
      </c>
      <c r="J108" s="6" t="s">
        <v>46</v>
      </c>
      <c r="K108" s="6" t="s">
        <v>47</v>
      </c>
      <c r="L108" s="6" t="s">
        <v>125</v>
      </c>
      <c r="M108" s="6" t="s">
        <v>49</v>
      </c>
      <c r="N108" s="6" t="s">
        <v>604</v>
      </c>
      <c r="O108" s="6" t="s">
        <v>605</v>
      </c>
      <c r="P108" s="6"/>
    </row>
    <row r="109" spans="1:16" x14ac:dyDescent="0.3">
      <c r="A109" s="7" t="s">
        <v>606</v>
      </c>
      <c r="B109" s="7" t="s">
        <v>607</v>
      </c>
      <c r="C109" s="7" t="s">
        <v>311</v>
      </c>
      <c r="D109" s="7" t="s">
        <v>335</v>
      </c>
      <c r="E109" s="7" t="s">
        <v>465</v>
      </c>
      <c r="F109" s="7" t="s">
        <v>55</v>
      </c>
      <c r="G109" s="7">
        <v>18</v>
      </c>
      <c r="H109" s="7" t="s">
        <v>76</v>
      </c>
      <c r="I109" s="7" t="s">
        <v>11</v>
      </c>
      <c r="J109" s="7" t="s">
        <v>46</v>
      </c>
      <c r="K109" s="7" t="s">
        <v>47</v>
      </c>
      <c r="L109" s="7" t="s">
        <v>98</v>
      </c>
      <c r="M109" s="7" t="s">
        <v>49</v>
      </c>
      <c r="N109" s="7" t="s">
        <v>608</v>
      </c>
      <c r="O109" s="7" t="s">
        <v>609</v>
      </c>
      <c r="P109" s="7"/>
    </row>
  </sheetData>
  <autoFilter ref="A1:P10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M109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6640625" defaultRowHeight="14.4" x14ac:dyDescent="0.3"/>
  <cols>
    <col min="1" max="2" width="22" customWidth="1"/>
    <col min="3" max="3" width="35" customWidth="1"/>
    <col min="4" max="4" width="22" customWidth="1"/>
    <col min="5" max="5" width="35" customWidth="1"/>
    <col min="6" max="6" width="22" customWidth="1"/>
    <col min="7" max="7" width="35" customWidth="1"/>
    <col min="8" max="8" width="22" customWidth="1"/>
    <col min="9" max="9" width="35" customWidth="1"/>
    <col min="10" max="10" width="22" customWidth="1"/>
    <col min="11" max="11" width="35" customWidth="1"/>
    <col min="12" max="12" width="22" customWidth="1"/>
    <col min="13" max="13" width="35" customWidth="1"/>
  </cols>
  <sheetData>
    <row r="1" spans="1:13" ht="30" customHeight="1" x14ac:dyDescent="0.3">
      <c r="A1" s="8" t="s">
        <v>23</v>
      </c>
      <c r="B1" s="8" t="s">
        <v>610</v>
      </c>
      <c r="C1" s="8" t="s">
        <v>611</v>
      </c>
      <c r="D1" s="8" t="s">
        <v>612</v>
      </c>
      <c r="E1" s="8" t="s">
        <v>613</v>
      </c>
      <c r="F1" s="8" t="s">
        <v>614</v>
      </c>
      <c r="G1" s="8" t="s">
        <v>615</v>
      </c>
      <c r="H1" s="8" t="s">
        <v>616</v>
      </c>
      <c r="I1" s="8" t="s">
        <v>617</v>
      </c>
      <c r="J1" s="8" t="s">
        <v>618</v>
      </c>
      <c r="K1" s="8" t="s">
        <v>619</v>
      </c>
      <c r="L1" s="8" t="s">
        <v>620</v>
      </c>
      <c r="M1" s="8" t="s">
        <v>621</v>
      </c>
    </row>
    <row r="2" spans="1:13" x14ac:dyDescent="0.3">
      <c r="A2" s="6" t="s">
        <v>39</v>
      </c>
      <c r="B2" s="6" t="s">
        <v>622</v>
      </c>
      <c r="C2" s="6" t="s">
        <v>623</v>
      </c>
      <c r="D2" s="6" t="s">
        <v>622</v>
      </c>
      <c r="E2" s="6" t="s">
        <v>623</v>
      </c>
      <c r="F2" s="6"/>
      <c r="G2" s="6"/>
      <c r="H2" s="6"/>
      <c r="I2" s="6"/>
      <c r="J2" s="6" t="s">
        <v>624</v>
      </c>
      <c r="K2" s="6" t="s">
        <v>625</v>
      </c>
      <c r="L2" s="6" t="s">
        <v>626</v>
      </c>
      <c r="M2" s="6"/>
    </row>
    <row r="3" spans="1:13" x14ac:dyDescent="0.3">
      <c r="A3" s="7" t="s">
        <v>52</v>
      </c>
      <c r="B3" s="7" t="s">
        <v>627</v>
      </c>
      <c r="C3" s="7" t="s">
        <v>628</v>
      </c>
      <c r="D3" s="7" t="s">
        <v>627</v>
      </c>
      <c r="E3" s="7" t="s">
        <v>628</v>
      </c>
      <c r="F3" s="7" t="s">
        <v>629</v>
      </c>
      <c r="G3" s="7" t="s">
        <v>630</v>
      </c>
      <c r="H3" s="7"/>
      <c r="I3" s="7"/>
      <c r="J3" s="7" t="s">
        <v>631</v>
      </c>
      <c r="K3" s="7"/>
      <c r="L3" s="7" t="s">
        <v>632</v>
      </c>
      <c r="M3" s="7"/>
    </row>
    <row r="4" spans="1:13" x14ac:dyDescent="0.3">
      <c r="A4" s="6" t="s">
        <v>60</v>
      </c>
      <c r="B4" s="6" t="s">
        <v>633</v>
      </c>
      <c r="C4" s="6" t="s">
        <v>634</v>
      </c>
      <c r="D4" s="6" t="s">
        <v>633</v>
      </c>
      <c r="E4" s="6" t="s">
        <v>634</v>
      </c>
      <c r="F4" s="6"/>
      <c r="G4" s="6"/>
      <c r="H4" s="6"/>
      <c r="I4" s="6"/>
      <c r="J4" s="6" t="s">
        <v>631</v>
      </c>
      <c r="K4" s="6"/>
      <c r="L4" s="6" t="s">
        <v>620</v>
      </c>
      <c r="M4" s="6"/>
    </row>
    <row r="5" spans="1:13" x14ac:dyDescent="0.3">
      <c r="A5" s="7" t="s">
        <v>66</v>
      </c>
      <c r="B5" s="7" t="s">
        <v>635</v>
      </c>
      <c r="C5" s="7" t="s">
        <v>636</v>
      </c>
      <c r="D5" s="7" t="s">
        <v>635</v>
      </c>
      <c r="E5" s="7" t="s">
        <v>636</v>
      </c>
      <c r="F5" s="7"/>
      <c r="G5" s="7"/>
      <c r="H5" s="7"/>
      <c r="I5" s="7"/>
      <c r="J5" s="7" t="s">
        <v>637</v>
      </c>
      <c r="K5" s="7"/>
      <c r="L5" s="7"/>
      <c r="M5" s="7"/>
    </row>
    <row r="6" spans="1:13" x14ac:dyDescent="0.3">
      <c r="A6" s="6" t="s">
        <v>73</v>
      </c>
      <c r="B6" s="6" t="s">
        <v>638</v>
      </c>
      <c r="C6" s="6" t="s">
        <v>639</v>
      </c>
      <c r="D6" s="6" t="s">
        <v>638</v>
      </c>
      <c r="E6" s="6" t="s">
        <v>639</v>
      </c>
      <c r="F6" s="6"/>
      <c r="G6" s="6"/>
      <c r="H6" s="6"/>
      <c r="I6" s="6"/>
      <c r="J6" s="6" t="s">
        <v>626</v>
      </c>
      <c r="K6" s="6"/>
      <c r="L6" s="6"/>
      <c r="M6" s="6"/>
    </row>
    <row r="7" spans="1:13" x14ac:dyDescent="0.3">
      <c r="A7" s="7" t="s">
        <v>80</v>
      </c>
      <c r="B7" s="7" t="s">
        <v>640</v>
      </c>
      <c r="C7" s="7" t="s">
        <v>641</v>
      </c>
      <c r="D7" s="7" t="s">
        <v>640</v>
      </c>
      <c r="E7" s="7" t="s">
        <v>641</v>
      </c>
      <c r="F7" s="7"/>
      <c r="G7" s="7"/>
      <c r="H7" s="7"/>
      <c r="I7" s="7"/>
      <c r="J7" s="7" t="s">
        <v>642</v>
      </c>
      <c r="K7" s="7"/>
      <c r="L7" s="7"/>
      <c r="M7" s="7"/>
    </row>
    <row r="8" spans="1:13" x14ac:dyDescent="0.3">
      <c r="A8" s="6" t="s">
        <v>88</v>
      </c>
      <c r="B8" s="6" t="s">
        <v>643</v>
      </c>
      <c r="C8" s="6" t="s">
        <v>644</v>
      </c>
      <c r="D8" s="6" t="s">
        <v>643</v>
      </c>
      <c r="E8" s="6" t="s">
        <v>644</v>
      </c>
      <c r="F8" s="6"/>
      <c r="G8" s="6"/>
      <c r="H8" s="6"/>
      <c r="I8" s="6"/>
      <c r="J8" s="6" t="s">
        <v>626</v>
      </c>
      <c r="K8" s="6"/>
      <c r="L8" s="6"/>
      <c r="M8" s="6"/>
    </row>
    <row r="9" spans="1:13" x14ac:dyDescent="0.3">
      <c r="A9" s="7" t="s">
        <v>94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6" t="s">
        <v>101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">
      <c r="A11" s="7" t="s">
        <v>107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6" t="s">
        <v>112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7" t="s">
        <v>118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3">
      <c r="A14" s="6" t="s">
        <v>123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x14ac:dyDescent="0.3">
      <c r="A15" s="7" t="s">
        <v>128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3">
      <c r="A16" s="6" t="s">
        <v>134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x14ac:dyDescent="0.3">
      <c r="A17" s="7" t="s">
        <v>139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3">
      <c r="A18" s="6" t="s">
        <v>144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x14ac:dyDescent="0.3">
      <c r="A19" s="7" t="s">
        <v>148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3">
      <c r="A20" s="6" t="s">
        <v>152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3">
      <c r="A21" s="7" t="s">
        <v>157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3">
      <c r="A22" s="6" t="s">
        <v>163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x14ac:dyDescent="0.3">
      <c r="A23" s="7" t="s">
        <v>169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x14ac:dyDescent="0.3">
      <c r="A24" s="6" t="s">
        <v>174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3">
      <c r="A25" s="7" t="s">
        <v>179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x14ac:dyDescent="0.3">
      <c r="A26" s="6" t="s">
        <v>183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x14ac:dyDescent="0.3">
      <c r="A27" s="7" t="s">
        <v>188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x14ac:dyDescent="0.3">
      <c r="A28" s="6" t="s">
        <v>193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3">
      <c r="A29" s="7" t="s">
        <v>198</v>
      </c>
      <c r="B29" s="7" t="s">
        <v>645</v>
      </c>
      <c r="C29" s="7" t="s">
        <v>646</v>
      </c>
      <c r="D29" s="7" t="s">
        <v>645</v>
      </c>
      <c r="E29" s="7" t="s">
        <v>646</v>
      </c>
      <c r="F29" s="7"/>
      <c r="G29" s="7"/>
      <c r="H29" s="7"/>
      <c r="I29" s="7"/>
      <c r="J29" s="7" t="s">
        <v>631</v>
      </c>
      <c r="K29" s="7"/>
      <c r="L29" s="7"/>
      <c r="M29" s="7"/>
    </row>
    <row r="30" spans="1:13" x14ac:dyDescent="0.3">
      <c r="A30" s="6" t="s">
        <v>204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3">
      <c r="A31" s="7" t="s">
        <v>209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x14ac:dyDescent="0.3">
      <c r="A32" s="6" t="s">
        <v>214</v>
      </c>
      <c r="B32" s="6" t="s">
        <v>647</v>
      </c>
      <c r="C32" s="6" t="s">
        <v>648</v>
      </c>
      <c r="D32" s="6" t="s">
        <v>647</v>
      </c>
      <c r="E32" s="6" t="s">
        <v>648</v>
      </c>
      <c r="F32" s="6"/>
      <c r="G32" s="6"/>
      <c r="H32" s="6"/>
      <c r="I32" s="6"/>
      <c r="J32" s="6" t="s">
        <v>631</v>
      </c>
      <c r="K32" s="6"/>
      <c r="L32" s="6"/>
      <c r="M32" s="6"/>
    </row>
    <row r="33" spans="1:13" x14ac:dyDescent="0.3">
      <c r="A33" s="7" t="s">
        <v>218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x14ac:dyDescent="0.3">
      <c r="A34" s="6" t="s">
        <v>223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3">
      <c r="A35" s="7" t="s">
        <v>228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3">
      <c r="A36" s="6" t="s">
        <v>234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3">
      <c r="A37" s="7" t="s">
        <v>240</v>
      </c>
      <c r="B37" s="7" t="s">
        <v>649</v>
      </c>
      <c r="C37" s="7" t="s">
        <v>650</v>
      </c>
      <c r="D37" s="7" t="s">
        <v>649</v>
      </c>
      <c r="E37" s="7" t="s">
        <v>650</v>
      </c>
      <c r="F37" s="7"/>
      <c r="G37" s="7"/>
      <c r="H37" s="7"/>
      <c r="I37" s="7"/>
      <c r="J37" s="7" t="s">
        <v>651</v>
      </c>
      <c r="K37" s="7"/>
      <c r="L37" s="7"/>
      <c r="M37" s="7"/>
    </row>
    <row r="38" spans="1:13" x14ac:dyDescent="0.3">
      <c r="A38" s="6" t="s">
        <v>247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3">
      <c r="A39" s="7" t="s">
        <v>252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x14ac:dyDescent="0.3">
      <c r="A40" s="6" t="s">
        <v>256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3">
      <c r="A41" s="7" t="s">
        <v>261</v>
      </c>
      <c r="B41" s="7" t="s">
        <v>652</v>
      </c>
      <c r="C41" s="7" t="s">
        <v>653</v>
      </c>
      <c r="D41" s="7" t="s">
        <v>652</v>
      </c>
      <c r="E41" s="7" t="s">
        <v>653</v>
      </c>
      <c r="F41" s="7"/>
      <c r="G41" s="7"/>
      <c r="H41" s="7"/>
      <c r="I41" s="7"/>
      <c r="J41" s="7" t="s">
        <v>632</v>
      </c>
      <c r="K41" s="7"/>
      <c r="L41" s="7"/>
      <c r="M41" s="7"/>
    </row>
    <row r="42" spans="1:13" x14ac:dyDescent="0.3">
      <c r="A42" s="6" t="s">
        <v>266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3">
      <c r="A43" s="7" t="s">
        <v>270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3">
      <c r="A44" s="6" t="s">
        <v>275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3">
      <c r="A45" s="7" t="s">
        <v>279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3">
      <c r="A46" s="6" t="s">
        <v>283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3">
      <c r="A47" s="7" t="s">
        <v>287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3">
      <c r="A48" s="6" t="s">
        <v>292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3">
      <c r="A49" s="7" t="s">
        <v>296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3">
      <c r="A50" s="6" t="s">
        <v>300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3">
      <c r="A51" s="7" t="s">
        <v>305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3">
      <c r="A52" s="6" t="s">
        <v>309</v>
      </c>
      <c r="B52" s="6" t="s">
        <v>654</v>
      </c>
      <c r="C52" s="6" t="s">
        <v>655</v>
      </c>
      <c r="D52" s="6" t="s">
        <v>654</v>
      </c>
      <c r="E52" s="6" t="s">
        <v>655</v>
      </c>
      <c r="F52" s="6"/>
      <c r="G52" s="6"/>
      <c r="H52" s="6"/>
      <c r="I52" s="6"/>
      <c r="J52" s="6" t="s">
        <v>656</v>
      </c>
      <c r="K52" s="6"/>
      <c r="L52" s="6"/>
      <c r="M52" s="6"/>
    </row>
    <row r="53" spans="1:13" x14ac:dyDescent="0.3">
      <c r="A53" s="7" t="s">
        <v>317</v>
      </c>
      <c r="B53" s="7" t="s">
        <v>657</v>
      </c>
      <c r="C53" s="7" t="s">
        <v>658</v>
      </c>
      <c r="D53" s="7" t="s">
        <v>657</v>
      </c>
      <c r="E53" s="7" t="s">
        <v>658</v>
      </c>
      <c r="F53" s="7"/>
      <c r="G53" s="7"/>
      <c r="H53" s="7"/>
      <c r="I53" s="7"/>
      <c r="J53" s="7" t="s">
        <v>626</v>
      </c>
      <c r="K53" s="7"/>
      <c r="L53" s="7"/>
      <c r="M53" s="7"/>
    </row>
    <row r="54" spans="1:13" x14ac:dyDescent="0.3">
      <c r="A54" s="6" t="s">
        <v>323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3">
      <c r="A55" s="7" t="s">
        <v>328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3">
      <c r="A56" s="6" t="s">
        <v>333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3">
      <c r="A57" s="7" t="s">
        <v>340</v>
      </c>
      <c r="B57" s="7" t="s">
        <v>659</v>
      </c>
      <c r="C57" s="7" t="s">
        <v>660</v>
      </c>
      <c r="D57" s="7" t="s">
        <v>659</v>
      </c>
      <c r="E57" s="7" t="s">
        <v>660</v>
      </c>
      <c r="F57" s="7"/>
      <c r="G57" s="7"/>
      <c r="H57" s="7"/>
      <c r="I57" s="7"/>
      <c r="J57" s="7" t="s">
        <v>632</v>
      </c>
      <c r="K57" s="7"/>
      <c r="L57" s="7"/>
      <c r="M57" s="7"/>
    </row>
    <row r="58" spans="1:13" x14ac:dyDescent="0.3">
      <c r="A58" s="6" t="s">
        <v>344</v>
      </c>
      <c r="B58" s="6" t="s">
        <v>661</v>
      </c>
      <c r="C58" s="6" t="s">
        <v>662</v>
      </c>
      <c r="D58" s="6" t="s">
        <v>661</v>
      </c>
      <c r="E58" s="6" t="s">
        <v>662</v>
      </c>
      <c r="F58" s="6"/>
      <c r="G58" s="6"/>
      <c r="H58" s="6"/>
      <c r="I58" s="6"/>
      <c r="J58" s="6" t="s">
        <v>631</v>
      </c>
      <c r="K58" s="6"/>
      <c r="L58" s="6"/>
      <c r="M58" s="6"/>
    </row>
    <row r="59" spans="1:13" x14ac:dyDescent="0.3">
      <c r="A59" s="7" t="s">
        <v>349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3">
      <c r="A60" s="6" t="s">
        <v>356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3">
      <c r="A61" s="7" t="s">
        <v>361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3">
      <c r="A62" s="6" t="s">
        <v>366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3">
      <c r="A63" s="7" t="s">
        <v>370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3">
      <c r="A64" s="6" t="s">
        <v>375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3">
      <c r="A65" s="7" t="s">
        <v>381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3">
      <c r="A66" s="6" t="s">
        <v>388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3">
      <c r="A67" s="7" t="s">
        <v>393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3">
      <c r="A68" s="6" t="s">
        <v>398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3">
      <c r="A69" s="7" t="s">
        <v>403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3">
      <c r="A70" s="6" t="s">
        <v>407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3">
      <c r="A71" s="7" t="s">
        <v>412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3">
      <c r="A72" s="6" t="s">
        <v>417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3">
      <c r="A73" s="7" t="s">
        <v>421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x14ac:dyDescent="0.3">
      <c r="A74" s="6" t="s">
        <v>426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3">
      <c r="A75" s="7" t="s">
        <v>431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x14ac:dyDescent="0.3">
      <c r="A76" s="6" t="s">
        <v>437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3">
      <c r="A77" s="7" t="s">
        <v>443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3">
      <c r="A78" s="6" t="s">
        <v>447</v>
      </c>
      <c r="B78" s="6" t="s">
        <v>663</v>
      </c>
      <c r="C78" s="6" t="s">
        <v>664</v>
      </c>
      <c r="D78" s="6" t="s">
        <v>663</v>
      </c>
      <c r="E78" s="6" t="s">
        <v>664</v>
      </c>
      <c r="F78" s="6"/>
      <c r="G78" s="6"/>
      <c r="H78" s="6"/>
      <c r="I78" s="6"/>
      <c r="J78" s="6" t="s">
        <v>651</v>
      </c>
      <c r="K78" s="6"/>
      <c r="L78" s="6"/>
      <c r="M78" s="6"/>
    </row>
    <row r="79" spans="1:13" x14ac:dyDescent="0.3">
      <c r="A79" s="7" t="s">
        <v>452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3">
      <c r="A80" s="6" t="s">
        <v>456</v>
      </c>
      <c r="B80" s="6" t="s">
        <v>665</v>
      </c>
      <c r="C80" s="6" t="s">
        <v>666</v>
      </c>
      <c r="D80" s="6" t="s">
        <v>665</v>
      </c>
      <c r="E80" s="6" t="s">
        <v>666</v>
      </c>
      <c r="F80" s="6"/>
      <c r="G80" s="6"/>
      <c r="H80" s="6"/>
      <c r="I80" s="6"/>
      <c r="J80" s="6" t="s">
        <v>667</v>
      </c>
      <c r="K80" s="6"/>
      <c r="L80" s="6"/>
      <c r="M80" s="6"/>
    </row>
    <row r="81" spans="1:13" x14ac:dyDescent="0.3">
      <c r="A81" s="7" t="s">
        <v>463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3">
      <c r="A82" s="6" t="s">
        <v>468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3">
      <c r="A83" s="7" t="s">
        <v>472</v>
      </c>
      <c r="B83" s="7" t="s">
        <v>668</v>
      </c>
      <c r="C83" s="7" t="s">
        <v>669</v>
      </c>
      <c r="D83" s="7" t="s">
        <v>668</v>
      </c>
      <c r="E83" s="7" t="s">
        <v>669</v>
      </c>
      <c r="F83" s="7"/>
      <c r="G83" s="7"/>
      <c r="H83" s="7"/>
      <c r="I83" s="7"/>
      <c r="J83" s="7" t="s">
        <v>631</v>
      </c>
      <c r="K83" s="7"/>
      <c r="L83" s="7"/>
      <c r="M83" s="7"/>
    </row>
    <row r="84" spans="1:13" x14ac:dyDescent="0.3">
      <c r="A84" s="6" t="s">
        <v>476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3">
      <c r="A85" s="7" t="s">
        <v>482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3">
      <c r="A86" s="6" t="s">
        <v>486</v>
      </c>
      <c r="B86" s="6" t="s">
        <v>670</v>
      </c>
      <c r="C86" s="6" t="s">
        <v>671</v>
      </c>
      <c r="D86" s="6" t="s">
        <v>670</v>
      </c>
      <c r="E86" s="6" t="s">
        <v>671</v>
      </c>
      <c r="F86" s="6"/>
      <c r="G86" s="6"/>
      <c r="H86" s="6"/>
      <c r="I86" s="6"/>
      <c r="J86" s="6" t="s">
        <v>642</v>
      </c>
      <c r="K86" s="6"/>
      <c r="L86" s="6"/>
      <c r="M86" s="6"/>
    </row>
    <row r="87" spans="1:13" x14ac:dyDescent="0.3">
      <c r="A87" s="7" t="s">
        <v>492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3">
      <c r="A88" s="6" t="s">
        <v>496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3">
      <c r="A89" s="7" t="s">
        <v>501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3">
      <c r="A90" s="6" t="s">
        <v>506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3">
      <c r="A91" s="7" t="s">
        <v>511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3">
      <c r="A92" s="6" t="s">
        <v>515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3">
      <c r="A93" s="7" t="s">
        <v>519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3">
      <c r="A94" s="6" t="s">
        <v>525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x14ac:dyDescent="0.3">
      <c r="A95" s="7" t="s">
        <v>530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3">
      <c r="A96" s="6" t="s">
        <v>537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x14ac:dyDescent="0.3">
      <c r="A97" s="7" t="s">
        <v>543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3">
      <c r="A98" s="6" t="s">
        <v>549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3">
      <c r="A99" s="7" t="s">
        <v>555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3">
      <c r="A100" s="6" t="s">
        <v>562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3">
      <c r="A101" s="7" t="s">
        <v>566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spans="1:13" x14ac:dyDescent="0.3">
      <c r="A102" s="6" t="s">
        <v>572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3">
      <c r="A103" s="7" t="s">
        <v>577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spans="1:13" x14ac:dyDescent="0.3">
      <c r="A104" s="6" t="s">
        <v>582</v>
      </c>
      <c r="B104" s="6" t="s">
        <v>672</v>
      </c>
      <c r="C104" s="6" t="s">
        <v>673</v>
      </c>
      <c r="D104" s="6" t="s">
        <v>672</v>
      </c>
      <c r="E104" s="6" t="s">
        <v>673</v>
      </c>
      <c r="F104" s="6"/>
      <c r="G104" s="6"/>
      <c r="H104" s="6"/>
      <c r="I104" s="6"/>
      <c r="J104" s="6" t="s">
        <v>637</v>
      </c>
      <c r="K104" s="6"/>
      <c r="L104" s="6"/>
      <c r="M104" s="6"/>
    </row>
    <row r="105" spans="1:13" x14ac:dyDescent="0.3">
      <c r="A105" s="7" t="s">
        <v>587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3" x14ac:dyDescent="0.3">
      <c r="A106" s="6" t="s">
        <v>592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x14ac:dyDescent="0.3">
      <c r="A107" s="7" t="s">
        <v>596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x14ac:dyDescent="0.3">
      <c r="A108" s="6" t="s">
        <v>601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3">
      <c r="A109" s="7" t="s">
        <v>606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</sheetData>
  <autoFilter ref="A1:M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J10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22" customWidth="1"/>
    <col min="3" max="3" width="35" customWidth="1"/>
    <col min="4" max="4" width="25" customWidth="1"/>
    <col min="5" max="5" width="35" customWidth="1"/>
    <col min="6" max="6" width="22" customWidth="1"/>
    <col min="7" max="7" width="35" customWidth="1"/>
    <col min="8" max="10" width="30" customWidth="1"/>
  </cols>
  <sheetData>
    <row r="1" spans="1:10" ht="30" customHeight="1" x14ac:dyDescent="0.3">
      <c r="A1" s="9" t="s">
        <v>23</v>
      </c>
      <c r="B1" s="9" t="s">
        <v>674</v>
      </c>
      <c r="C1" s="9" t="s">
        <v>675</v>
      </c>
      <c r="D1" s="9" t="s">
        <v>676</v>
      </c>
      <c r="E1" s="9" t="s">
        <v>677</v>
      </c>
      <c r="F1" s="9" t="s">
        <v>678</v>
      </c>
      <c r="G1" s="9" t="s">
        <v>679</v>
      </c>
      <c r="H1" s="9" t="s">
        <v>680</v>
      </c>
      <c r="I1" s="9" t="s">
        <v>681</v>
      </c>
      <c r="J1" s="9" t="s">
        <v>682</v>
      </c>
    </row>
    <row r="2" spans="1:10" x14ac:dyDescent="0.3">
      <c r="A2" s="6" t="s">
        <v>39</v>
      </c>
      <c r="B2" s="6" t="s">
        <v>683</v>
      </c>
      <c r="C2" s="6" t="s">
        <v>684</v>
      </c>
      <c r="D2" s="6"/>
      <c r="E2" s="6"/>
      <c r="F2" s="6"/>
      <c r="G2" s="6"/>
      <c r="H2" s="6" t="s">
        <v>685</v>
      </c>
      <c r="I2" s="6" t="s">
        <v>686</v>
      </c>
      <c r="J2" s="6" t="s">
        <v>687</v>
      </c>
    </row>
    <row r="3" spans="1:10" x14ac:dyDescent="0.3">
      <c r="A3" s="7" t="s">
        <v>52</v>
      </c>
      <c r="B3" s="7" t="s">
        <v>688</v>
      </c>
      <c r="C3" s="7" t="s">
        <v>689</v>
      </c>
      <c r="D3" s="7"/>
      <c r="E3" s="7"/>
      <c r="F3" s="7"/>
      <c r="G3" s="7"/>
      <c r="H3" s="7" t="s">
        <v>690</v>
      </c>
      <c r="I3" s="7" t="s">
        <v>691</v>
      </c>
      <c r="J3" s="7" t="s">
        <v>692</v>
      </c>
    </row>
    <row r="4" spans="1:10" x14ac:dyDescent="0.3">
      <c r="A4" s="6" t="s">
        <v>60</v>
      </c>
      <c r="B4" s="6" t="s">
        <v>693</v>
      </c>
      <c r="C4" s="6" t="s">
        <v>694</v>
      </c>
      <c r="D4" s="6"/>
      <c r="E4" s="6"/>
      <c r="F4" s="6"/>
      <c r="G4" s="6"/>
      <c r="H4" s="6" t="s">
        <v>695</v>
      </c>
      <c r="I4" s="6" t="s">
        <v>696</v>
      </c>
      <c r="J4" s="6" t="s">
        <v>697</v>
      </c>
    </row>
    <row r="5" spans="1:10" x14ac:dyDescent="0.3">
      <c r="A5" s="7" t="s">
        <v>66</v>
      </c>
      <c r="B5" s="7" t="s">
        <v>698</v>
      </c>
      <c r="C5" s="7" t="s">
        <v>699</v>
      </c>
      <c r="D5" s="7"/>
      <c r="E5" s="7"/>
      <c r="F5" s="7"/>
      <c r="G5" s="7"/>
      <c r="H5" s="7" t="s">
        <v>700</v>
      </c>
      <c r="I5" s="7" t="s">
        <v>701</v>
      </c>
      <c r="J5" s="7" t="s">
        <v>702</v>
      </c>
    </row>
    <row r="6" spans="1:10" x14ac:dyDescent="0.3">
      <c r="A6" s="6" t="s">
        <v>73</v>
      </c>
      <c r="B6" s="6" t="s">
        <v>703</v>
      </c>
      <c r="C6" s="6" t="s">
        <v>704</v>
      </c>
      <c r="D6" s="6"/>
      <c r="E6" s="6"/>
      <c r="F6" s="6"/>
      <c r="G6" s="6"/>
      <c r="H6" s="6" t="s">
        <v>705</v>
      </c>
      <c r="I6" s="6" t="s">
        <v>706</v>
      </c>
      <c r="J6" s="6" t="s">
        <v>707</v>
      </c>
    </row>
    <row r="7" spans="1:10" x14ac:dyDescent="0.3">
      <c r="A7" s="7" t="s">
        <v>80</v>
      </c>
      <c r="B7" s="7"/>
      <c r="C7" s="7"/>
      <c r="D7" s="7"/>
      <c r="E7" s="7"/>
      <c r="F7" s="7"/>
      <c r="G7" s="7"/>
      <c r="H7" s="7"/>
      <c r="I7" s="7"/>
      <c r="J7" s="7"/>
    </row>
    <row r="8" spans="1:10" x14ac:dyDescent="0.3">
      <c r="A8" s="6" t="s">
        <v>88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3">
      <c r="A9" s="7" t="s">
        <v>94</v>
      </c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6" t="s">
        <v>101</v>
      </c>
      <c r="B10" s="6" t="s">
        <v>708</v>
      </c>
      <c r="C10" s="6" t="s">
        <v>709</v>
      </c>
      <c r="D10" s="6"/>
      <c r="E10" s="6"/>
      <c r="F10" s="6"/>
      <c r="G10" s="6"/>
      <c r="H10" s="6" t="s">
        <v>710</v>
      </c>
      <c r="I10" s="6" t="s">
        <v>711</v>
      </c>
      <c r="J10" s="6" t="s">
        <v>712</v>
      </c>
    </row>
    <row r="11" spans="1:10" x14ac:dyDescent="0.3">
      <c r="A11" s="7" t="s">
        <v>107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">
      <c r="A12" s="6" t="s">
        <v>112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">
      <c r="A13" s="7" t="s">
        <v>118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3">
      <c r="A14" s="6" t="s">
        <v>123</v>
      </c>
      <c r="B14" s="6" t="s">
        <v>713</v>
      </c>
      <c r="C14" s="6" t="s">
        <v>714</v>
      </c>
      <c r="D14" s="6"/>
      <c r="E14" s="6"/>
      <c r="F14" s="6"/>
      <c r="G14" s="6"/>
      <c r="H14" s="6" t="s">
        <v>715</v>
      </c>
      <c r="I14" s="6" t="s">
        <v>716</v>
      </c>
      <c r="J14" s="6" t="s">
        <v>717</v>
      </c>
    </row>
    <row r="15" spans="1:10" x14ac:dyDescent="0.3">
      <c r="A15" s="7" t="s">
        <v>128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3">
      <c r="A16" s="6" t="s">
        <v>134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">
      <c r="A17" s="7" t="s">
        <v>139</v>
      </c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3">
      <c r="A18" s="6" t="s">
        <v>144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7" t="s">
        <v>148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x14ac:dyDescent="0.3">
      <c r="A20" s="6" t="s">
        <v>152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7" t="s">
        <v>157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3">
      <c r="A22" s="6" t="s">
        <v>163</v>
      </c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 t="s">
        <v>169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3">
      <c r="A24" s="6" t="s">
        <v>174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7" t="s">
        <v>179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3">
      <c r="A26" s="6" t="s">
        <v>183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 t="s">
        <v>188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x14ac:dyDescent="0.3">
      <c r="A28" s="6" t="s">
        <v>193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 t="s">
        <v>198</v>
      </c>
      <c r="B29" s="7" t="s">
        <v>718</v>
      </c>
      <c r="C29" s="7" t="s">
        <v>202</v>
      </c>
      <c r="D29" s="7"/>
      <c r="E29" s="7"/>
      <c r="F29" s="7"/>
      <c r="G29" s="7"/>
      <c r="H29" s="7" t="s">
        <v>719</v>
      </c>
      <c r="I29" s="7" t="s">
        <v>720</v>
      </c>
      <c r="J29" s="7" t="s">
        <v>721</v>
      </c>
    </row>
    <row r="30" spans="1:10" x14ac:dyDescent="0.3">
      <c r="A30" s="6" t="s">
        <v>204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 t="s">
        <v>209</v>
      </c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3">
      <c r="A32" s="6" t="s">
        <v>214</v>
      </c>
      <c r="B32" s="6" t="s">
        <v>722</v>
      </c>
      <c r="C32" s="6" t="s">
        <v>216</v>
      </c>
      <c r="D32" s="6"/>
      <c r="E32" s="6"/>
      <c r="F32" s="6"/>
      <c r="G32" s="6"/>
      <c r="H32" s="6" t="s">
        <v>723</v>
      </c>
      <c r="I32" s="6" t="s">
        <v>724</v>
      </c>
      <c r="J32" s="6" t="s">
        <v>725</v>
      </c>
    </row>
    <row r="33" spans="1:10" x14ac:dyDescent="0.3">
      <c r="A33" s="7" t="s">
        <v>218</v>
      </c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3">
      <c r="A34" s="6" t="s">
        <v>223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7" t="s">
        <v>228</v>
      </c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3">
      <c r="A36" s="6" t="s">
        <v>234</v>
      </c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7" t="s">
        <v>240</v>
      </c>
      <c r="B37" s="7" t="s">
        <v>726</v>
      </c>
      <c r="C37" s="7" t="s">
        <v>727</v>
      </c>
      <c r="D37" s="7"/>
      <c r="E37" s="7"/>
      <c r="F37" s="7"/>
      <c r="G37" s="7"/>
      <c r="H37" s="7" t="s">
        <v>728</v>
      </c>
      <c r="I37" s="7" t="s">
        <v>729</v>
      </c>
      <c r="J37" s="7" t="s">
        <v>730</v>
      </c>
    </row>
    <row r="38" spans="1:10" x14ac:dyDescent="0.3">
      <c r="A38" s="6" t="s">
        <v>247</v>
      </c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7" t="s">
        <v>252</v>
      </c>
      <c r="B39" s="7"/>
      <c r="C39" s="7"/>
      <c r="D39" s="7"/>
      <c r="E39" s="7"/>
      <c r="F39" s="7"/>
      <c r="G39" s="7"/>
      <c r="H39" s="7"/>
      <c r="I39" s="7"/>
      <c r="J39" s="7"/>
    </row>
    <row r="40" spans="1:10" x14ac:dyDescent="0.3">
      <c r="A40" s="6" t="s">
        <v>256</v>
      </c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7" t="s">
        <v>261</v>
      </c>
      <c r="B41" s="7" t="s">
        <v>731</v>
      </c>
      <c r="C41" s="7" t="s">
        <v>264</v>
      </c>
      <c r="D41" s="7"/>
      <c r="E41" s="7"/>
      <c r="F41" s="7"/>
      <c r="G41" s="7"/>
      <c r="H41" s="7" t="s">
        <v>732</v>
      </c>
      <c r="I41" s="7" t="s">
        <v>733</v>
      </c>
      <c r="J41" s="7" t="s">
        <v>734</v>
      </c>
    </row>
    <row r="42" spans="1:10" x14ac:dyDescent="0.3">
      <c r="A42" s="6" t="s">
        <v>266</v>
      </c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7" t="s">
        <v>270</v>
      </c>
      <c r="B43" s="7"/>
      <c r="C43" s="7"/>
      <c r="D43" s="7"/>
      <c r="E43" s="7"/>
      <c r="F43" s="7"/>
      <c r="G43" s="7"/>
      <c r="H43" s="7"/>
      <c r="I43" s="7"/>
      <c r="J43" s="7"/>
    </row>
    <row r="44" spans="1:10" x14ac:dyDescent="0.3">
      <c r="A44" s="6" t="s">
        <v>275</v>
      </c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7" t="s">
        <v>279</v>
      </c>
      <c r="B45" s="7"/>
      <c r="C45" s="7"/>
      <c r="D45" s="7"/>
      <c r="E45" s="7"/>
      <c r="F45" s="7"/>
      <c r="G45" s="7"/>
      <c r="H45" s="7"/>
      <c r="I45" s="7"/>
      <c r="J45" s="7"/>
    </row>
    <row r="46" spans="1:10" x14ac:dyDescent="0.3">
      <c r="A46" s="6" t="s">
        <v>283</v>
      </c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7" t="s">
        <v>287</v>
      </c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3">
      <c r="A48" s="6" t="s">
        <v>292</v>
      </c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7" t="s">
        <v>296</v>
      </c>
      <c r="B49" s="7"/>
      <c r="C49" s="7"/>
      <c r="D49" s="7"/>
      <c r="E49" s="7"/>
      <c r="F49" s="7"/>
      <c r="G49" s="7"/>
      <c r="H49" s="7"/>
      <c r="I49" s="7"/>
      <c r="J49" s="7"/>
    </row>
    <row r="50" spans="1:10" x14ac:dyDescent="0.3">
      <c r="A50" s="6" t="s">
        <v>300</v>
      </c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7" t="s">
        <v>305</v>
      </c>
      <c r="B51" s="7"/>
      <c r="C51" s="7"/>
      <c r="D51" s="7"/>
      <c r="E51" s="7"/>
      <c r="F51" s="7"/>
      <c r="G51" s="7"/>
      <c r="H51" s="7"/>
      <c r="I51" s="7"/>
      <c r="J51" s="7"/>
    </row>
    <row r="52" spans="1:10" x14ac:dyDescent="0.3">
      <c r="A52" s="6" t="s">
        <v>309</v>
      </c>
      <c r="B52" s="6" t="s">
        <v>718</v>
      </c>
      <c r="C52" s="6" t="s">
        <v>315</v>
      </c>
      <c r="D52" s="6"/>
      <c r="E52" s="6"/>
      <c r="F52" s="6"/>
      <c r="G52" s="6"/>
      <c r="H52" s="6" t="s">
        <v>735</v>
      </c>
      <c r="I52" s="6" t="s">
        <v>736</v>
      </c>
      <c r="J52" s="6" t="s">
        <v>737</v>
      </c>
    </row>
    <row r="53" spans="1:10" x14ac:dyDescent="0.3">
      <c r="A53" s="7" t="s">
        <v>317</v>
      </c>
      <c r="B53" s="7" t="s">
        <v>738</v>
      </c>
      <c r="C53" s="7" t="s">
        <v>321</v>
      </c>
      <c r="D53" s="7"/>
      <c r="E53" s="7"/>
      <c r="F53" s="7"/>
      <c r="G53" s="7"/>
      <c r="H53" s="7" t="s">
        <v>739</v>
      </c>
      <c r="I53" s="7" t="s">
        <v>740</v>
      </c>
      <c r="J53" s="7" t="s">
        <v>741</v>
      </c>
    </row>
    <row r="54" spans="1:10" x14ac:dyDescent="0.3">
      <c r="A54" s="6" t="s">
        <v>323</v>
      </c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7" t="s">
        <v>328</v>
      </c>
      <c r="B55" s="7"/>
      <c r="C55" s="7"/>
      <c r="D55" s="7"/>
      <c r="E55" s="7"/>
      <c r="F55" s="7"/>
      <c r="G55" s="7"/>
      <c r="H55" s="7"/>
      <c r="I55" s="7"/>
      <c r="J55" s="7"/>
    </row>
    <row r="56" spans="1:10" x14ac:dyDescent="0.3">
      <c r="A56" s="6" t="s">
        <v>333</v>
      </c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7" t="s">
        <v>340</v>
      </c>
      <c r="B57" s="7" t="s">
        <v>742</v>
      </c>
      <c r="C57" s="7" t="s">
        <v>342</v>
      </c>
      <c r="D57" s="7"/>
      <c r="E57" s="7"/>
      <c r="F57" s="7"/>
      <c r="G57" s="7"/>
      <c r="H57" s="7" t="s">
        <v>743</v>
      </c>
      <c r="I57" s="7" t="s">
        <v>744</v>
      </c>
      <c r="J57" s="7" t="s">
        <v>745</v>
      </c>
    </row>
    <row r="58" spans="1:10" x14ac:dyDescent="0.3">
      <c r="A58" s="6" t="s">
        <v>344</v>
      </c>
      <c r="B58" s="6" t="s">
        <v>746</v>
      </c>
      <c r="C58" s="6" t="s">
        <v>347</v>
      </c>
      <c r="D58" s="6"/>
      <c r="E58" s="6"/>
      <c r="F58" s="6"/>
      <c r="G58" s="6"/>
      <c r="H58" s="6" t="s">
        <v>747</v>
      </c>
      <c r="I58" s="6" t="s">
        <v>748</v>
      </c>
      <c r="J58" s="6" t="s">
        <v>749</v>
      </c>
    </row>
    <row r="59" spans="1:10" x14ac:dyDescent="0.3">
      <c r="A59" s="7" t="s">
        <v>349</v>
      </c>
      <c r="B59" s="7"/>
      <c r="C59" s="7"/>
      <c r="D59" s="7"/>
      <c r="E59" s="7"/>
      <c r="F59" s="7"/>
      <c r="G59" s="7"/>
      <c r="H59" s="7"/>
      <c r="I59" s="7"/>
      <c r="J59" s="7"/>
    </row>
    <row r="60" spans="1:10" x14ac:dyDescent="0.3">
      <c r="A60" s="6" t="s">
        <v>356</v>
      </c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7" t="s">
        <v>361</v>
      </c>
      <c r="B61" s="7"/>
      <c r="C61" s="7"/>
      <c r="D61" s="7"/>
      <c r="E61" s="7"/>
      <c r="F61" s="7"/>
      <c r="G61" s="7"/>
      <c r="H61" s="7"/>
      <c r="I61" s="7"/>
      <c r="J61" s="7"/>
    </row>
    <row r="62" spans="1:10" x14ac:dyDescent="0.3">
      <c r="A62" s="6" t="s">
        <v>366</v>
      </c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3">
      <c r="A63" s="7" t="s">
        <v>370</v>
      </c>
      <c r="B63" s="7"/>
      <c r="C63" s="7"/>
      <c r="D63" s="7"/>
      <c r="E63" s="7"/>
      <c r="F63" s="7"/>
      <c r="G63" s="7"/>
      <c r="H63" s="7"/>
      <c r="I63" s="7"/>
      <c r="J63" s="7"/>
    </row>
    <row r="64" spans="1:10" x14ac:dyDescent="0.3">
      <c r="A64" s="6" t="s">
        <v>375</v>
      </c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7" t="s">
        <v>381</v>
      </c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">
      <c r="A66" s="6" t="s">
        <v>388</v>
      </c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7" t="s">
        <v>393</v>
      </c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3">
      <c r="A68" s="6" t="s">
        <v>398</v>
      </c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3">
      <c r="A69" s="7" t="s">
        <v>403</v>
      </c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3">
      <c r="A70" s="6" t="s">
        <v>407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3">
      <c r="A71" s="7" t="s">
        <v>412</v>
      </c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3">
      <c r="A72" s="6" t="s">
        <v>417</v>
      </c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3">
      <c r="A73" s="7" t="s">
        <v>421</v>
      </c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3">
      <c r="A74" s="6" t="s">
        <v>426</v>
      </c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3">
      <c r="A75" s="7" t="s">
        <v>431</v>
      </c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3">
      <c r="A76" s="6" t="s">
        <v>437</v>
      </c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7" t="s">
        <v>443</v>
      </c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3">
      <c r="A78" s="6" t="s">
        <v>447</v>
      </c>
      <c r="B78" s="6" t="s">
        <v>750</v>
      </c>
      <c r="C78" s="6" t="s">
        <v>450</v>
      </c>
      <c r="D78" s="6"/>
      <c r="E78" s="6"/>
      <c r="F78" s="6"/>
      <c r="G78" s="6"/>
      <c r="H78" s="6" t="s">
        <v>751</v>
      </c>
      <c r="I78" s="6" t="s">
        <v>752</v>
      </c>
      <c r="J78" s="6" t="s">
        <v>753</v>
      </c>
    </row>
    <row r="79" spans="1:10" x14ac:dyDescent="0.3">
      <c r="A79" s="7" t="s">
        <v>452</v>
      </c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3">
      <c r="A80" s="6" t="s">
        <v>456</v>
      </c>
      <c r="B80" s="6" t="s">
        <v>754</v>
      </c>
      <c r="C80" s="6" t="s">
        <v>461</v>
      </c>
      <c r="D80" s="6"/>
      <c r="E80" s="6"/>
      <c r="F80" s="6"/>
      <c r="G80" s="6"/>
      <c r="H80" s="6" t="s">
        <v>755</v>
      </c>
      <c r="I80" s="6" t="s">
        <v>756</v>
      </c>
      <c r="J80" s="6" t="s">
        <v>757</v>
      </c>
    </row>
    <row r="81" spans="1:10" x14ac:dyDescent="0.3">
      <c r="A81" s="7" t="s">
        <v>463</v>
      </c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3">
      <c r="A82" s="6" t="s">
        <v>468</v>
      </c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3">
      <c r="A83" s="7" t="s">
        <v>472</v>
      </c>
      <c r="B83" s="7" t="s">
        <v>746</v>
      </c>
      <c r="C83" s="7" t="s">
        <v>474</v>
      </c>
      <c r="D83" s="7"/>
      <c r="E83" s="7"/>
      <c r="F83" s="7"/>
      <c r="G83" s="7"/>
      <c r="H83" s="7" t="s">
        <v>758</v>
      </c>
      <c r="I83" s="7" t="s">
        <v>759</v>
      </c>
      <c r="J83" s="7" t="s">
        <v>760</v>
      </c>
    </row>
    <row r="84" spans="1:10" x14ac:dyDescent="0.3">
      <c r="A84" s="6" t="s">
        <v>476</v>
      </c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3">
      <c r="A85" s="7" t="s">
        <v>482</v>
      </c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3">
      <c r="A86" s="6" t="s">
        <v>486</v>
      </c>
      <c r="B86" s="6" t="s">
        <v>718</v>
      </c>
      <c r="C86" s="6" t="s">
        <v>490</v>
      </c>
      <c r="D86" s="6"/>
      <c r="E86" s="6"/>
      <c r="F86" s="6"/>
      <c r="G86" s="6"/>
      <c r="H86" s="6" t="s">
        <v>761</v>
      </c>
      <c r="I86" s="6" t="s">
        <v>762</v>
      </c>
      <c r="J86" s="6" t="s">
        <v>763</v>
      </c>
    </row>
    <row r="87" spans="1:10" x14ac:dyDescent="0.3">
      <c r="A87" s="7" t="s">
        <v>492</v>
      </c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3">
      <c r="A88" s="6" t="s">
        <v>496</v>
      </c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3">
      <c r="A89" s="7" t="s">
        <v>501</v>
      </c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3">
      <c r="A90" s="6" t="s">
        <v>506</v>
      </c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3">
      <c r="A91" s="7" t="s">
        <v>511</v>
      </c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3">
      <c r="A92" s="6" t="s">
        <v>515</v>
      </c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3">
      <c r="A93" s="7" t="s">
        <v>519</v>
      </c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3">
      <c r="A94" s="6" t="s">
        <v>525</v>
      </c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3">
      <c r="A95" s="7" t="s">
        <v>530</v>
      </c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3">
      <c r="A96" s="6" t="s">
        <v>537</v>
      </c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3">
      <c r="A97" s="7" t="s">
        <v>543</v>
      </c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3">
      <c r="A98" s="6" t="s">
        <v>549</v>
      </c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3">
      <c r="A99" s="7" t="s">
        <v>555</v>
      </c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3">
      <c r="A100" s="6" t="s">
        <v>562</v>
      </c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3">
      <c r="A101" s="7" t="s">
        <v>566</v>
      </c>
      <c r="B101" s="7"/>
      <c r="C101" s="7"/>
      <c r="D101" s="7"/>
      <c r="E101" s="7"/>
      <c r="F101" s="7"/>
      <c r="G101" s="7"/>
      <c r="H101" s="7"/>
      <c r="I101" s="7"/>
      <c r="J101" s="7"/>
    </row>
    <row r="102" spans="1:10" x14ac:dyDescent="0.3">
      <c r="A102" s="6" t="s">
        <v>572</v>
      </c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3">
      <c r="A103" s="7" t="s">
        <v>577</v>
      </c>
      <c r="B103" s="7"/>
      <c r="C103" s="7"/>
      <c r="D103" s="7"/>
      <c r="E103" s="7"/>
      <c r="F103" s="7"/>
      <c r="G103" s="7"/>
      <c r="H103" s="7"/>
      <c r="I103" s="7"/>
      <c r="J103" s="7"/>
    </row>
    <row r="104" spans="1:10" x14ac:dyDescent="0.3">
      <c r="A104" s="6" t="s">
        <v>582</v>
      </c>
      <c r="B104" s="6" t="s">
        <v>742</v>
      </c>
      <c r="C104" s="6" t="s">
        <v>585</v>
      </c>
      <c r="D104" s="6"/>
      <c r="E104" s="6"/>
      <c r="F104" s="6"/>
      <c r="G104" s="6"/>
      <c r="H104" s="6" t="s">
        <v>764</v>
      </c>
      <c r="I104" s="6" t="s">
        <v>765</v>
      </c>
      <c r="J104" s="6" t="s">
        <v>766</v>
      </c>
    </row>
    <row r="105" spans="1:10" x14ac:dyDescent="0.3">
      <c r="A105" s="7" t="s">
        <v>587</v>
      </c>
      <c r="B105" s="7"/>
      <c r="C105" s="7"/>
      <c r="D105" s="7"/>
      <c r="E105" s="7"/>
      <c r="F105" s="7"/>
      <c r="G105" s="7"/>
      <c r="H105" s="7"/>
      <c r="I105" s="7"/>
      <c r="J105" s="7"/>
    </row>
    <row r="106" spans="1:10" x14ac:dyDescent="0.3">
      <c r="A106" s="6" t="s">
        <v>592</v>
      </c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3">
      <c r="A107" s="7" t="s">
        <v>596</v>
      </c>
      <c r="B107" s="7"/>
      <c r="C107" s="7"/>
      <c r="D107" s="7"/>
      <c r="E107" s="7"/>
      <c r="F107" s="7"/>
      <c r="G107" s="7"/>
      <c r="H107" s="7"/>
      <c r="I107" s="7"/>
      <c r="J107" s="7"/>
    </row>
    <row r="108" spans="1:10" x14ac:dyDescent="0.3">
      <c r="A108" s="6" t="s">
        <v>601</v>
      </c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3">
      <c r="A109" s="7" t="s">
        <v>606</v>
      </c>
      <c r="B109" s="7"/>
      <c r="C109" s="7"/>
      <c r="D109" s="7"/>
      <c r="E109" s="7"/>
      <c r="F109" s="7"/>
      <c r="G109" s="7"/>
      <c r="H109" s="7"/>
      <c r="I109" s="7"/>
      <c r="J109" s="7"/>
    </row>
  </sheetData>
  <autoFilter ref="A1:J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N109"/>
  <sheetViews>
    <sheetView zoomScale="70" zoomScaleNormal="70" workbookViewId="0">
      <pane ySplit="1" topLeftCell="A2" activePane="bottomLeft" state="frozen"/>
      <selection pane="bottomLeft" activeCell="A6" sqref="A6"/>
    </sheetView>
  </sheetViews>
  <sheetFormatPr defaultColWidth="8.6640625" defaultRowHeight="14.4" x14ac:dyDescent="0.3"/>
  <cols>
    <col min="1" max="3" width="22" customWidth="1"/>
    <col min="4" max="4" width="35" customWidth="1"/>
    <col min="5" max="5" width="28" customWidth="1"/>
    <col min="6" max="10" width="14" customWidth="1"/>
    <col min="11" max="12" width="18" customWidth="1"/>
    <col min="13" max="13" width="12" customWidth="1"/>
    <col min="14" max="14" width="25" customWidth="1"/>
  </cols>
  <sheetData>
    <row r="1" spans="1:14" ht="30" customHeight="1" x14ac:dyDescent="0.3">
      <c r="A1" s="10" t="s">
        <v>23</v>
      </c>
      <c r="B1" s="10" t="s">
        <v>767</v>
      </c>
      <c r="C1" s="10" t="s">
        <v>768</v>
      </c>
      <c r="D1" s="10" t="s">
        <v>769</v>
      </c>
      <c r="E1" s="10" t="s">
        <v>770</v>
      </c>
      <c r="F1" s="10" t="s">
        <v>771</v>
      </c>
      <c r="G1" s="10" t="s">
        <v>772</v>
      </c>
      <c r="H1" s="10" t="s">
        <v>773</v>
      </c>
      <c r="I1" s="10" t="s">
        <v>774</v>
      </c>
      <c r="J1" s="10" t="s">
        <v>775</v>
      </c>
      <c r="K1" s="10" t="s">
        <v>776</v>
      </c>
      <c r="L1" s="10" t="s">
        <v>777</v>
      </c>
      <c r="M1" s="10" t="s">
        <v>778</v>
      </c>
      <c r="N1" s="10" t="s">
        <v>38</v>
      </c>
    </row>
    <row r="2" spans="1:14" x14ac:dyDescent="0.3">
      <c r="A2" s="6" t="s">
        <v>39</v>
      </c>
      <c r="B2" s="6"/>
      <c r="C2" s="6"/>
      <c r="D2" s="6"/>
      <c r="E2" s="6"/>
      <c r="F2" s="6" t="s">
        <v>779</v>
      </c>
      <c r="G2" s="6" t="s">
        <v>790</v>
      </c>
      <c r="H2" s="6"/>
      <c r="I2" s="6"/>
      <c r="J2" s="6"/>
      <c r="K2" s="6" t="s">
        <v>780</v>
      </c>
      <c r="L2" s="6" t="s">
        <v>779</v>
      </c>
      <c r="M2" s="6" t="s">
        <v>781</v>
      </c>
      <c r="N2" s="6"/>
    </row>
    <row r="3" spans="1:14" x14ac:dyDescent="0.3">
      <c r="A3" s="7" t="s">
        <v>52</v>
      </c>
      <c r="B3" s="7"/>
      <c r="C3" s="7"/>
      <c r="D3" s="7"/>
      <c r="E3" s="7"/>
      <c r="F3" s="7" t="s">
        <v>779</v>
      </c>
      <c r="G3" s="7" t="s">
        <v>779</v>
      </c>
      <c r="H3" s="7"/>
      <c r="I3" s="7"/>
      <c r="J3" s="7"/>
      <c r="K3" s="7" t="s">
        <v>780</v>
      </c>
      <c r="L3" s="7" t="s">
        <v>779</v>
      </c>
      <c r="M3" s="7" t="s">
        <v>781</v>
      </c>
      <c r="N3" s="7"/>
    </row>
    <row r="4" spans="1:14" x14ac:dyDescent="0.3">
      <c r="A4" s="6" t="s">
        <v>60</v>
      </c>
      <c r="B4" s="6"/>
      <c r="C4" s="6"/>
      <c r="D4" s="6"/>
      <c r="E4" s="6"/>
      <c r="F4" s="6" t="s">
        <v>779</v>
      </c>
      <c r="G4" s="6" t="s">
        <v>779</v>
      </c>
      <c r="H4" s="6"/>
      <c r="I4" s="6"/>
      <c r="J4" s="6"/>
      <c r="K4" s="6" t="s">
        <v>780</v>
      </c>
      <c r="L4" s="6" t="s">
        <v>779</v>
      </c>
      <c r="M4" s="6" t="s">
        <v>781</v>
      </c>
      <c r="N4" s="6"/>
    </row>
    <row r="5" spans="1:14" x14ac:dyDescent="0.3">
      <c r="A5" s="7" t="s">
        <v>66</v>
      </c>
      <c r="B5" s="7"/>
      <c r="C5" s="7"/>
      <c r="D5" s="7"/>
      <c r="E5" s="7"/>
      <c r="F5" s="7" t="s">
        <v>779</v>
      </c>
      <c r="G5" s="7" t="s">
        <v>779</v>
      </c>
      <c r="H5" s="7"/>
      <c r="I5" s="7"/>
      <c r="J5" s="7"/>
      <c r="K5" s="7" t="s">
        <v>780</v>
      </c>
      <c r="L5" s="7" t="s">
        <v>779</v>
      </c>
      <c r="M5" s="7" t="s">
        <v>781</v>
      </c>
      <c r="N5" s="7"/>
    </row>
    <row r="6" spans="1:14" x14ac:dyDescent="0.3">
      <c r="A6" s="6" t="s">
        <v>73</v>
      </c>
      <c r="B6" s="6"/>
      <c r="C6" s="6"/>
      <c r="D6" s="6"/>
      <c r="E6" s="6"/>
      <c r="F6" s="6" t="s">
        <v>779</v>
      </c>
      <c r="G6" s="6" t="s">
        <v>779</v>
      </c>
      <c r="H6" s="6"/>
      <c r="I6" s="6"/>
      <c r="J6" s="6"/>
      <c r="K6" s="6" t="s">
        <v>780</v>
      </c>
      <c r="L6" s="6" t="s">
        <v>779</v>
      </c>
      <c r="M6" s="6" t="s">
        <v>781</v>
      </c>
      <c r="N6" s="6"/>
    </row>
    <row r="7" spans="1:14" x14ac:dyDescent="0.3">
      <c r="A7" s="7" t="s">
        <v>80</v>
      </c>
      <c r="B7" s="7"/>
      <c r="C7" s="7"/>
      <c r="D7" s="7"/>
      <c r="E7" s="7"/>
      <c r="F7" s="7" t="s">
        <v>779</v>
      </c>
      <c r="G7" s="7" t="s">
        <v>779</v>
      </c>
      <c r="H7" s="7"/>
      <c r="I7" s="7"/>
      <c r="J7" s="7"/>
      <c r="K7" s="7" t="s">
        <v>780</v>
      </c>
      <c r="L7" s="7" t="s">
        <v>779</v>
      </c>
      <c r="M7" s="7" t="s">
        <v>781</v>
      </c>
      <c r="N7" s="7"/>
    </row>
    <row r="8" spans="1:14" x14ac:dyDescent="0.3">
      <c r="A8" s="6" t="s">
        <v>88</v>
      </c>
      <c r="B8" s="6"/>
      <c r="C8" s="6"/>
      <c r="D8" s="6"/>
      <c r="E8" s="6"/>
      <c r="F8" s="6" t="s">
        <v>779</v>
      </c>
      <c r="G8" s="6" t="s">
        <v>779</v>
      </c>
      <c r="H8" s="6"/>
      <c r="I8" s="6"/>
      <c r="J8" s="6"/>
      <c r="K8" s="6" t="s">
        <v>780</v>
      </c>
      <c r="L8" s="6" t="s">
        <v>779</v>
      </c>
      <c r="M8" s="6" t="s">
        <v>781</v>
      </c>
      <c r="N8" s="6"/>
    </row>
    <row r="9" spans="1:14" x14ac:dyDescent="0.3">
      <c r="A9" s="7" t="s">
        <v>94</v>
      </c>
      <c r="B9" s="7"/>
      <c r="C9" s="7"/>
      <c r="D9" s="7"/>
      <c r="E9" s="7"/>
      <c r="F9" s="7" t="s">
        <v>779</v>
      </c>
      <c r="G9" s="7" t="s">
        <v>779</v>
      </c>
      <c r="H9" s="7"/>
      <c r="I9" s="7"/>
      <c r="J9" s="7"/>
      <c r="K9" s="7" t="s">
        <v>780</v>
      </c>
      <c r="L9" s="7" t="s">
        <v>779</v>
      </c>
      <c r="M9" s="7" t="s">
        <v>781</v>
      </c>
      <c r="N9" s="7"/>
    </row>
    <row r="10" spans="1:14" x14ac:dyDescent="0.3">
      <c r="A10" s="6" t="s">
        <v>101</v>
      </c>
      <c r="B10" s="6"/>
      <c r="C10" s="6"/>
      <c r="D10" s="6"/>
      <c r="E10" s="6"/>
      <c r="F10" s="6" t="s">
        <v>779</v>
      </c>
      <c r="G10" s="6" t="s">
        <v>779</v>
      </c>
      <c r="H10" s="6"/>
      <c r="I10" s="6"/>
      <c r="J10" s="6"/>
      <c r="K10" s="6" t="s">
        <v>780</v>
      </c>
      <c r="L10" s="6" t="s">
        <v>779</v>
      </c>
      <c r="M10" s="6" t="s">
        <v>781</v>
      </c>
      <c r="N10" s="6"/>
    </row>
    <row r="11" spans="1:14" x14ac:dyDescent="0.3">
      <c r="A11" s="7" t="s">
        <v>107</v>
      </c>
      <c r="B11" s="7"/>
      <c r="C11" s="7"/>
      <c r="D11" s="7"/>
      <c r="E11" s="7"/>
      <c r="F11" s="7" t="s">
        <v>779</v>
      </c>
      <c r="G11" s="7" t="s">
        <v>779</v>
      </c>
      <c r="H11" s="7"/>
      <c r="I11" s="7"/>
      <c r="J11" s="7"/>
      <c r="K11" s="7" t="s">
        <v>780</v>
      </c>
      <c r="L11" s="7" t="s">
        <v>779</v>
      </c>
      <c r="M11" s="7" t="s">
        <v>781</v>
      </c>
      <c r="N11" s="7"/>
    </row>
    <row r="12" spans="1:14" x14ac:dyDescent="0.3">
      <c r="A12" s="6" t="s">
        <v>112</v>
      </c>
      <c r="B12" s="6"/>
      <c r="C12" s="6"/>
      <c r="D12" s="6"/>
      <c r="E12" s="6"/>
      <c r="F12" s="6" t="s">
        <v>779</v>
      </c>
      <c r="G12" s="6" t="s">
        <v>779</v>
      </c>
      <c r="H12" s="6"/>
      <c r="I12" s="6"/>
      <c r="J12" s="6"/>
      <c r="K12" s="6" t="s">
        <v>780</v>
      </c>
      <c r="L12" s="6" t="s">
        <v>779</v>
      </c>
      <c r="M12" s="6" t="s">
        <v>781</v>
      </c>
      <c r="N12" s="6"/>
    </row>
    <row r="13" spans="1:14" x14ac:dyDescent="0.3">
      <c r="A13" s="7" t="s">
        <v>118</v>
      </c>
      <c r="B13" s="7"/>
      <c r="C13" s="7"/>
      <c r="D13" s="7"/>
      <c r="E13" s="7"/>
      <c r="F13" s="7" t="s">
        <v>779</v>
      </c>
      <c r="G13" s="7" t="s">
        <v>779</v>
      </c>
      <c r="H13" s="7"/>
      <c r="I13" s="7"/>
      <c r="J13" s="7"/>
      <c r="K13" s="7" t="s">
        <v>780</v>
      </c>
      <c r="L13" s="7" t="s">
        <v>779</v>
      </c>
      <c r="M13" s="7" t="s">
        <v>781</v>
      </c>
      <c r="N13" s="7"/>
    </row>
    <row r="14" spans="1:14" x14ac:dyDescent="0.3">
      <c r="A14" s="6" t="s">
        <v>123</v>
      </c>
      <c r="B14" s="6"/>
      <c r="C14" s="6"/>
      <c r="D14" s="6"/>
      <c r="E14" s="6"/>
      <c r="F14" s="6" t="s">
        <v>779</v>
      </c>
      <c r="G14" s="6" t="s">
        <v>779</v>
      </c>
      <c r="H14" s="6"/>
      <c r="I14" s="6"/>
      <c r="J14" s="6"/>
      <c r="K14" s="6" t="s">
        <v>780</v>
      </c>
      <c r="L14" s="6" t="s">
        <v>779</v>
      </c>
      <c r="M14" s="6" t="s">
        <v>781</v>
      </c>
      <c r="N14" s="6"/>
    </row>
    <row r="15" spans="1:14" x14ac:dyDescent="0.3">
      <c r="A15" s="7" t="s">
        <v>128</v>
      </c>
      <c r="B15" s="7"/>
      <c r="C15" s="7"/>
      <c r="D15" s="7"/>
      <c r="E15" s="7"/>
      <c r="F15" s="7" t="s">
        <v>779</v>
      </c>
      <c r="G15" s="7" t="s">
        <v>779</v>
      </c>
      <c r="H15" s="7"/>
      <c r="I15" s="7"/>
      <c r="J15" s="7"/>
      <c r="K15" s="7" t="s">
        <v>780</v>
      </c>
      <c r="L15" s="7" t="s">
        <v>779</v>
      </c>
      <c r="M15" s="7" t="s">
        <v>781</v>
      </c>
      <c r="N15" s="7"/>
    </row>
    <row r="16" spans="1:14" x14ac:dyDescent="0.3">
      <c r="A16" s="6" t="s">
        <v>134</v>
      </c>
      <c r="B16" s="6"/>
      <c r="C16" s="6"/>
      <c r="D16" s="6"/>
      <c r="E16" s="6"/>
      <c r="F16" s="6" t="s">
        <v>779</v>
      </c>
      <c r="G16" s="6" t="s">
        <v>779</v>
      </c>
      <c r="H16" s="6"/>
      <c r="I16" s="6"/>
      <c r="J16" s="6"/>
      <c r="K16" s="6" t="s">
        <v>780</v>
      </c>
      <c r="L16" s="6" t="s">
        <v>779</v>
      </c>
      <c r="M16" s="6" t="s">
        <v>781</v>
      </c>
      <c r="N16" s="6"/>
    </row>
    <row r="17" spans="1:14" x14ac:dyDescent="0.3">
      <c r="A17" s="7" t="s">
        <v>139</v>
      </c>
      <c r="B17" s="7"/>
      <c r="C17" s="7"/>
      <c r="D17" s="7"/>
      <c r="E17" s="7"/>
      <c r="F17" s="7" t="s">
        <v>779</v>
      </c>
      <c r="G17" s="7" t="s">
        <v>779</v>
      </c>
      <c r="H17" s="7"/>
      <c r="I17" s="7"/>
      <c r="J17" s="7"/>
      <c r="K17" s="7" t="s">
        <v>780</v>
      </c>
      <c r="L17" s="7" t="s">
        <v>779</v>
      </c>
      <c r="M17" s="7" t="s">
        <v>781</v>
      </c>
      <c r="N17" s="7"/>
    </row>
    <row r="18" spans="1:14" x14ac:dyDescent="0.3">
      <c r="A18" s="6" t="s">
        <v>144</v>
      </c>
      <c r="B18" s="6"/>
      <c r="C18" s="6"/>
      <c r="D18" s="6"/>
      <c r="E18" s="6"/>
      <c r="F18" s="6" t="s">
        <v>779</v>
      </c>
      <c r="G18" s="6" t="s">
        <v>779</v>
      </c>
      <c r="H18" s="6"/>
      <c r="I18" s="6"/>
      <c r="J18" s="6"/>
      <c r="K18" s="6" t="s">
        <v>780</v>
      </c>
      <c r="L18" s="6" t="s">
        <v>779</v>
      </c>
      <c r="M18" s="6" t="s">
        <v>781</v>
      </c>
      <c r="N18" s="6"/>
    </row>
    <row r="19" spans="1:14" x14ac:dyDescent="0.3">
      <c r="A19" s="7" t="s">
        <v>148</v>
      </c>
      <c r="B19" s="7"/>
      <c r="C19" s="7"/>
      <c r="D19" s="7"/>
      <c r="E19" s="7"/>
      <c r="F19" s="7" t="s">
        <v>779</v>
      </c>
      <c r="G19" s="7" t="s">
        <v>779</v>
      </c>
      <c r="H19" s="7"/>
      <c r="I19" s="7"/>
      <c r="J19" s="7"/>
      <c r="K19" s="7" t="s">
        <v>780</v>
      </c>
      <c r="L19" s="7" t="s">
        <v>779</v>
      </c>
      <c r="M19" s="7" t="s">
        <v>781</v>
      </c>
      <c r="N19" s="7"/>
    </row>
    <row r="20" spans="1:14" x14ac:dyDescent="0.3">
      <c r="A20" s="6" t="s">
        <v>152</v>
      </c>
      <c r="B20" s="6"/>
      <c r="C20" s="6"/>
      <c r="D20" s="6"/>
      <c r="E20" s="6"/>
      <c r="F20" s="6" t="s">
        <v>779</v>
      </c>
      <c r="G20" s="6" t="s">
        <v>779</v>
      </c>
      <c r="H20" s="6"/>
      <c r="I20" s="6"/>
      <c r="J20" s="6"/>
      <c r="K20" s="6" t="s">
        <v>780</v>
      </c>
      <c r="L20" s="6" t="s">
        <v>779</v>
      </c>
      <c r="M20" s="6" t="s">
        <v>781</v>
      </c>
      <c r="N20" s="6"/>
    </row>
    <row r="21" spans="1:14" x14ac:dyDescent="0.3">
      <c r="A21" s="7" t="s">
        <v>157</v>
      </c>
      <c r="B21" s="7"/>
      <c r="C21" s="7"/>
      <c r="D21" s="7"/>
      <c r="E21" s="7"/>
      <c r="F21" s="7" t="s">
        <v>779</v>
      </c>
      <c r="G21" s="7" t="s">
        <v>779</v>
      </c>
      <c r="H21" s="7"/>
      <c r="I21" s="7"/>
      <c r="J21" s="7"/>
      <c r="K21" s="7" t="s">
        <v>780</v>
      </c>
      <c r="L21" s="7" t="s">
        <v>779</v>
      </c>
      <c r="M21" s="7" t="s">
        <v>781</v>
      </c>
      <c r="N21" s="7"/>
    </row>
    <row r="22" spans="1:14" x14ac:dyDescent="0.3">
      <c r="A22" s="6" t="s">
        <v>163</v>
      </c>
      <c r="B22" s="6"/>
      <c r="C22" s="6"/>
      <c r="D22" s="6"/>
      <c r="E22" s="6"/>
      <c r="F22" s="6" t="s">
        <v>779</v>
      </c>
      <c r="G22" s="6" t="s">
        <v>779</v>
      </c>
      <c r="H22" s="6"/>
      <c r="I22" s="6"/>
      <c r="J22" s="6"/>
      <c r="K22" s="6" t="s">
        <v>780</v>
      </c>
      <c r="L22" s="6" t="s">
        <v>779</v>
      </c>
      <c r="M22" s="6" t="s">
        <v>781</v>
      </c>
      <c r="N22" s="6"/>
    </row>
    <row r="23" spans="1:14" x14ac:dyDescent="0.3">
      <c r="A23" s="7" t="s">
        <v>169</v>
      </c>
      <c r="B23" s="7"/>
      <c r="C23" s="7"/>
      <c r="D23" s="7"/>
      <c r="E23" s="7"/>
      <c r="F23" s="7" t="s">
        <v>779</v>
      </c>
      <c r="G23" s="7" t="s">
        <v>779</v>
      </c>
      <c r="H23" s="7"/>
      <c r="I23" s="7"/>
      <c r="J23" s="7"/>
      <c r="K23" s="7" t="s">
        <v>780</v>
      </c>
      <c r="L23" s="7" t="s">
        <v>779</v>
      </c>
      <c r="M23" s="7" t="s">
        <v>781</v>
      </c>
      <c r="N23" s="7"/>
    </row>
    <row r="24" spans="1:14" x14ac:dyDescent="0.3">
      <c r="A24" s="6" t="s">
        <v>174</v>
      </c>
      <c r="B24" s="6"/>
      <c r="C24" s="6"/>
      <c r="D24" s="6"/>
      <c r="E24" s="6"/>
      <c r="F24" s="6" t="s">
        <v>779</v>
      </c>
      <c r="G24" s="6" t="s">
        <v>779</v>
      </c>
      <c r="H24" s="6"/>
      <c r="I24" s="6"/>
      <c r="J24" s="6"/>
      <c r="K24" s="6" t="s">
        <v>780</v>
      </c>
      <c r="L24" s="6" t="s">
        <v>779</v>
      </c>
      <c r="M24" s="6" t="s">
        <v>781</v>
      </c>
      <c r="N24" s="6"/>
    </row>
    <row r="25" spans="1:14" x14ac:dyDescent="0.3">
      <c r="A25" s="7" t="s">
        <v>179</v>
      </c>
      <c r="B25" s="7"/>
      <c r="C25" s="7"/>
      <c r="D25" s="7"/>
      <c r="E25" s="7"/>
      <c r="F25" s="7" t="s">
        <v>779</v>
      </c>
      <c r="G25" s="7" t="s">
        <v>779</v>
      </c>
      <c r="H25" s="7"/>
      <c r="I25" s="7"/>
      <c r="J25" s="7"/>
      <c r="K25" s="7" t="s">
        <v>780</v>
      </c>
      <c r="L25" s="7" t="s">
        <v>779</v>
      </c>
      <c r="M25" s="7" t="s">
        <v>781</v>
      </c>
      <c r="N25" s="7"/>
    </row>
    <row r="26" spans="1:14" x14ac:dyDescent="0.3">
      <c r="A26" s="6" t="s">
        <v>183</v>
      </c>
      <c r="B26" s="6"/>
      <c r="C26" s="6"/>
      <c r="D26" s="6"/>
      <c r="E26" s="6"/>
      <c r="F26" s="6" t="s">
        <v>779</v>
      </c>
      <c r="G26" s="6" t="s">
        <v>779</v>
      </c>
      <c r="H26" s="6"/>
      <c r="I26" s="6"/>
      <c r="J26" s="6"/>
      <c r="K26" s="6" t="s">
        <v>780</v>
      </c>
      <c r="L26" s="6" t="s">
        <v>779</v>
      </c>
      <c r="M26" s="6" t="s">
        <v>781</v>
      </c>
      <c r="N26" s="6"/>
    </row>
    <row r="27" spans="1:14" x14ac:dyDescent="0.3">
      <c r="A27" s="7" t="s">
        <v>188</v>
      </c>
      <c r="B27" s="7"/>
      <c r="C27" s="7"/>
      <c r="D27" s="7"/>
      <c r="E27" s="7"/>
      <c r="F27" s="7" t="s">
        <v>779</v>
      </c>
      <c r="G27" s="7" t="s">
        <v>779</v>
      </c>
      <c r="H27" s="7"/>
      <c r="I27" s="7"/>
      <c r="J27" s="7"/>
      <c r="K27" s="7" t="s">
        <v>780</v>
      </c>
      <c r="L27" s="7" t="s">
        <v>779</v>
      </c>
      <c r="M27" s="7" t="s">
        <v>781</v>
      </c>
      <c r="N27" s="7"/>
    </row>
    <row r="28" spans="1:14" x14ac:dyDescent="0.3">
      <c r="A28" s="6" t="s">
        <v>193</v>
      </c>
      <c r="B28" s="6"/>
      <c r="C28" s="6"/>
      <c r="D28" s="6"/>
      <c r="E28" s="6"/>
      <c r="F28" s="6" t="s">
        <v>779</v>
      </c>
      <c r="G28" s="6" t="s">
        <v>779</v>
      </c>
      <c r="H28" s="6"/>
      <c r="I28" s="6"/>
      <c r="J28" s="6"/>
      <c r="K28" s="6" t="s">
        <v>780</v>
      </c>
      <c r="L28" s="6" t="s">
        <v>779</v>
      </c>
      <c r="M28" s="6" t="s">
        <v>781</v>
      </c>
      <c r="N28" s="6"/>
    </row>
    <row r="29" spans="1:14" x14ac:dyDescent="0.3">
      <c r="A29" s="7" t="s">
        <v>198</v>
      </c>
      <c r="B29" s="7"/>
      <c r="C29" s="7"/>
      <c r="D29" s="7"/>
      <c r="E29" s="7"/>
      <c r="F29" s="7" t="s">
        <v>779</v>
      </c>
      <c r="G29" s="7" t="s">
        <v>779</v>
      </c>
      <c r="H29" s="7"/>
      <c r="I29" s="7"/>
      <c r="J29" s="7"/>
      <c r="K29" s="7" t="s">
        <v>780</v>
      </c>
      <c r="L29" s="7" t="s">
        <v>779</v>
      </c>
      <c r="M29" s="7" t="s">
        <v>781</v>
      </c>
      <c r="N29" s="7"/>
    </row>
    <row r="30" spans="1:14" x14ac:dyDescent="0.3">
      <c r="A30" s="6" t="s">
        <v>204</v>
      </c>
      <c r="B30" s="6"/>
      <c r="C30" s="6"/>
      <c r="D30" s="6"/>
      <c r="E30" s="6"/>
      <c r="F30" s="6" t="s">
        <v>779</v>
      </c>
      <c r="G30" s="6" t="s">
        <v>779</v>
      </c>
      <c r="H30" s="6"/>
      <c r="I30" s="6"/>
      <c r="J30" s="6"/>
      <c r="K30" s="6" t="s">
        <v>780</v>
      </c>
      <c r="L30" s="6" t="s">
        <v>779</v>
      </c>
      <c r="M30" s="6" t="s">
        <v>781</v>
      </c>
      <c r="N30" s="6"/>
    </row>
    <row r="31" spans="1:14" x14ac:dyDescent="0.3">
      <c r="A31" s="7" t="s">
        <v>209</v>
      </c>
      <c r="B31" s="7"/>
      <c r="C31" s="7"/>
      <c r="D31" s="7"/>
      <c r="E31" s="7"/>
      <c r="F31" s="7" t="s">
        <v>779</v>
      </c>
      <c r="G31" s="7" t="s">
        <v>779</v>
      </c>
      <c r="H31" s="7"/>
      <c r="I31" s="7"/>
      <c r="J31" s="7"/>
      <c r="K31" s="7" t="s">
        <v>780</v>
      </c>
      <c r="L31" s="7" t="s">
        <v>779</v>
      </c>
      <c r="M31" s="7" t="s">
        <v>781</v>
      </c>
      <c r="N31" s="7"/>
    </row>
    <row r="32" spans="1:14" x14ac:dyDescent="0.3">
      <c r="A32" s="6" t="s">
        <v>214</v>
      </c>
      <c r="B32" s="6"/>
      <c r="C32" s="6"/>
      <c r="D32" s="6"/>
      <c r="E32" s="6"/>
      <c r="F32" s="6" t="s">
        <v>779</v>
      </c>
      <c r="G32" s="6" t="s">
        <v>779</v>
      </c>
      <c r="H32" s="6"/>
      <c r="I32" s="6"/>
      <c r="J32" s="6"/>
      <c r="K32" s="6" t="s">
        <v>780</v>
      </c>
      <c r="L32" s="6" t="s">
        <v>779</v>
      </c>
      <c r="M32" s="6" t="s">
        <v>781</v>
      </c>
      <c r="N32" s="6"/>
    </row>
    <row r="33" spans="1:14" x14ac:dyDescent="0.3">
      <c r="A33" s="7" t="s">
        <v>218</v>
      </c>
      <c r="B33" s="7"/>
      <c r="C33" s="7"/>
      <c r="D33" s="7"/>
      <c r="E33" s="7"/>
      <c r="F33" s="7" t="s">
        <v>779</v>
      </c>
      <c r="G33" s="7" t="s">
        <v>779</v>
      </c>
      <c r="H33" s="7"/>
      <c r="I33" s="7"/>
      <c r="J33" s="7"/>
      <c r="K33" s="7" t="s">
        <v>780</v>
      </c>
      <c r="L33" s="7" t="s">
        <v>779</v>
      </c>
      <c r="M33" s="7" t="s">
        <v>781</v>
      </c>
      <c r="N33" s="7"/>
    </row>
    <row r="34" spans="1:14" x14ac:dyDescent="0.3">
      <c r="A34" s="6" t="s">
        <v>223</v>
      </c>
      <c r="B34" s="6"/>
      <c r="C34" s="6"/>
      <c r="D34" s="6"/>
      <c r="E34" s="6"/>
      <c r="F34" s="6" t="s">
        <v>779</v>
      </c>
      <c r="G34" s="6" t="s">
        <v>779</v>
      </c>
      <c r="H34" s="6"/>
      <c r="I34" s="6"/>
      <c r="J34" s="6"/>
      <c r="K34" s="6" t="s">
        <v>780</v>
      </c>
      <c r="L34" s="6" t="s">
        <v>779</v>
      </c>
      <c r="M34" s="6" t="s">
        <v>781</v>
      </c>
      <c r="N34" s="6"/>
    </row>
    <row r="35" spans="1:14" x14ac:dyDescent="0.3">
      <c r="A35" s="7" t="s">
        <v>228</v>
      </c>
      <c r="B35" s="7"/>
      <c r="C35" s="7"/>
      <c r="D35" s="7"/>
      <c r="E35" s="7"/>
      <c r="F35" s="7" t="s">
        <v>779</v>
      </c>
      <c r="G35" s="7" t="s">
        <v>779</v>
      </c>
      <c r="H35" s="7"/>
      <c r="I35" s="7"/>
      <c r="J35" s="7"/>
      <c r="K35" s="7" t="s">
        <v>780</v>
      </c>
      <c r="L35" s="7" t="s">
        <v>779</v>
      </c>
      <c r="M35" s="7" t="s">
        <v>781</v>
      </c>
      <c r="N35" s="7"/>
    </row>
    <row r="36" spans="1:14" x14ac:dyDescent="0.3">
      <c r="A36" s="6" t="s">
        <v>234</v>
      </c>
      <c r="B36" s="6"/>
      <c r="C36" s="6"/>
      <c r="D36" s="6"/>
      <c r="E36" s="6"/>
      <c r="F36" s="6" t="s">
        <v>779</v>
      </c>
      <c r="G36" s="6" t="s">
        <v>779</v>
      </c>
      <c r="H36" s="6"/>
      <c r="I36" s="6"/>
      <c r="J36" s="6"/>
      <c r="K36" s="6" t="s">
        <v>780</v>
      </c>
      <c r="L36" s="6" t="s">
        <v>779</v>
      </c>
      <c r="M36" s="6" t="s">
        <v>781</v>
      </c>
      <c r="N36" s="6"/>
    </row>
    <row r="37" spans="1:14" x14ac:dyDescent="0.3">
      <c r="A37" s="7" t="s">
        <v>240</v>
      </c>
      <c r="B37" s="7"/>
      <c r="C37" s="7"/>
      <c r="D37" s="7"/>
      <c r="E37" s="7"/>
      <c r="F37" s="7" t="s">
        <v>779</v>
      </c>
      <c r="G37" s="7" t="s">
        <v>779</v>
      </c>
      <c r="H37" s="7"/>
      <c r="I37" s="7"/>
      <c r="J37" s="7"/>
      <c r="K37" s="7" t="s">
        <v>780</v>
      </c>
      <c r="L37" s="7" t="s">
        <v>779</v>
      </c>
      <c r="M37" s="7" t="s">
        <v>781</v>
      </c>
      <c r="N37" s="7"/>
    </row>
    <row r="38" spans="1:14" x14ac:dyDescent="0.3">
      <c r="A38" s="6" t="s">
        <v>247</v>
      </c>
      <c r="B38" s="6"/>
      <c r="C38" s="6"/>
      <c r="D38" s="6"/>
      <c r="E38" s="6"/>
      <c r="F38" s="6" t="s">
        <v>779</v>
      </c>
      <c r="G38" s="6" t="s">
        <v>779</v>
      </c>
      <c r="H38" s="6"/>
      <c r="I38" s="6"/>
      <c r="J38" s="6"/>
      <c r="K38" s="6" t="s">
        <v>780</v>
      </c>
      <c r="L38" s="6" t="s">
        <v>779</v>
      </c>
      <c r="M38" s="6" t="s">
        <v>781</v>
      </c>
      <c r="N38" s="6"/>
    </row>
    <row r="39" spans="1:14" x14ac:dyDescent="0.3">
      <c r="A39" s="7" t="s">
        <v>252</v>
      </c>
      <c r="B39" s="7"/>
      <c r="C39" s="7"/>
      <c r="D39" s="7"/>
      <c r="E39" s="7"/>
      <c r="F39" s="7" t="s">
        <v>779</v>
      </c>
      <c r="G39" s="7" t="s">
        <v>779</v>
      </c>
      <c r="H39" s="7"/>
      <c r="I39" s="7"/>
      <c r="J39" s="7"/>
      <c r="K39" s="7" t="s">
        <v>780</v>
      </c>
      <c r="L39" s="7" t="s">
        <v>779</v>
      </c>
      <c r="M39" s="7" t="s">
        <v>781</v>
      </c>
      <c r="N39" s="7"/>
    </row>
    <row r="40" spans="1:14" x14ac:dyDescent="0.3">
      <c r="A40" s="6" t="s">
        <v>256</v>
      </c>
      <c r="B40" s="6"/>
      <c r="C40" s="6"/>
      <c r="D40" s="6"/>
      <c r="E40" s="6"/>
      <c r="F40" s="6" t="s">
        <v>779</v>
      </c>
      <c r="G40" s="6" t="s">
        <v>779</v>
      </c>
      <c r="H40" s="6"/>
      <c r="I40" s="6"/>
      <c r="J40" s="6"/>
      <c r="K40" s="6" t="s">
        <v>780</v>
      </c>
      <c r="L40" s="6" t="s">
        <v>779</v>
      </c>
      <c r="M40" s="6" t="s">
        <v>781</v>
      </c>
      <c r="N40" s="6"/>
    </row>
    <row r="41" spans="1:14" x14ac:dyDescent="0.3">
      <c r="A41" s="7" t="s">
        <v>261</v>
      </c>
      <c r="B41" s="7"/>
      <c r="C41" s="7"/>
      <c r="D41" s="7"/>
      <c r="E41" s="7"/>
      <c r="F41" s="7" t="s">
        <v>779</v>
      </c>
      <c r="G41" s="7" t="s">
        <v>779</v>
      </c>
      <c r="H41" s="7"/>
      <c r="I41" s="7"/>
      <c r="J41" s="7"/>
      <c r="K41" s="7" t="s">
        <v>780</v>
      </c>
      <c r="L41" s="7" t="s">
        <v>779</v>
      </c>
      <c r="M41" s="7" t="s">
        <v>781</v>
      </c>
      <c r="N41" s="7"/>
    </row>
    <row r="42" spans="1:14" x14ac:dyDescent="0.3">
      <c r="A42" s="6" t="s">
        <v>266</v>
      </c>
      <c r="B42" s="6"/>
      <c r="C42" s="6"/>
      <c r="D42" s="6"/>
      <c r="E42" s="6"/>
      <c r="F42" s="6" t="s">
        <v>779</v>
      </c>
      <c r="G42" s="6" t="s">
        <v>779</v>
      </c>
      <c r="H42" s="6"/>
      <c r="I42" s="6"/>
      <c r="J42" s="6"/>
      <c r="K42" s="6" t="s">
        <v>780</v>
      </c>
      <c r="L42" s="6" t="s">
        <v>779</v>
      </c>
      <c r="M42" s="6" t="s">
        <v>781</v>
      </c>
      <c r="N42" s="6"/>
    </row>
    <row r="43" spans="1:14" x14ac:dyDescent="0.3">
      <c r="A43" s="7" t="s">
        <v>270</v>
      </c>
      <c r="B43" s="7"/>
      <c r="C43" s="7"/>
      <c r="D43" s="7"/>
      <c r="E43" s="7"/>
      <c r="F43" s="7" t="s">
        <v>779</v>
      </c>
      <c r="G43" s="7" t="s">
        <v>779</v>
      </c>
      <c r="H43" s="7"/>
      <c r="I43" s="7"/>
      <c r="J43" s="7"/>
      <c r="K43" s="7" t="s">
        <v>780</v>
      </c>
      <c r="L43" s="7" t="s">
        <v>779</v>
      </c>
      <c r="M43" s="7" t="s">
        <v>781</v>
      </c>
      <c r="N43" s="7"/>
    </row>
    <row r="44" spans="1:14" x14ac:dyDescent="0.3">
      <c r="A44" s="6" t="s">
        <v>275</v>
      </c>
      <c r="B44" s="6"/>
      <c r="C44" s="6"/>
      <c r="D44" s="6"/>
      <c r="E44" s="6"/>
      <c r="F44" s="6" t="s">
        <v>779</v>
      </c>
      <c r="G44" s="6" t="s">
        <v>779</v>
      </c>
      <c r="H44" s="6"/>
      <c r="I44" s="6"/>
      <c r="J44" s="6"/>
      <c r="K44" s="6" t="s">
        <v>780</v>
      </c>
      <c r="L44" s="6" t="s">
        <v>779</v>
      </c>
      <c r="M44" s="6" t="s">
        <v>781</v>
      </c>
      <c r="N44" s="6"/>
    </row>
    <row r="45" spans="1:14" x14ac:dyDescent="0.3">
      <c r="A45" s="7" t="s">
        <v>279</v>
      </c>
      <c r="B45" s="7"/>
      <c r="C45" s="7"/>
      <c r="D45" s="7"/>
      <c r="E45" s="7"/>
      <c r="F45" s="7" t="s">
        <v>779</v>
      </c>
      <c r="G45" s="7" t="s">
        <v>779</v>
      </c>
      <c r="H45" s="7"/>
      <c r="I45" s="7"/>
      <c r="J45" s="7"/>
      <c r="K45" s="7" t="s">
        <v>780</v>
      </c>
      <c r="L45" s="7" t="s">
        <v>779</v>
      </c>
      <c r="M45" s="7" t="s">
        <v>781</v>
      </c>
      <c r="N45" s="7"/>
    </row>
    <row r="46" spans="1:14" x14ac:dyDescent="0.3">
      <c r="A46" s="6" t="s">
        <v>283</v>
      </c>
      <c r="B46" s="6"/>
      <c r="C46" s="6"/>
      <c r="D46" s="6"/>
      <c r="E46" s="6"/>
      <c r="F46" s="6" t="s">
        <v>779</v>
      </c>
      <c r="G46" s="6" t="s">
        <v>779</v>
      </c>
      <c r="H46" s="6"/>
      <c r="I46" s="6"/>
      <c r="J46" s="6"/>
      <c r="K46" s="6" t="s">
        <v>780</v>
      </c>
      <c r="L46" s="6" t="s">
        <v>779</v>
      </c>
      <c r="M46" s="6" t="s">
        <v>781</v>
      </c>
      <c r="N46" s="6"/>
    </row>
    <row r="47" spans="1:14" x14ac:dyDescent="0.3">
      <c r="A47" s="7" t="s">
        <v>287</v>
      </c>
      <c r="B47" s="7"/>
      <c r="C47" s="7"/>
      <c r="D47" s="7"/>
      <c r="E47" s="7"/>
      <c r="F47" s="7" t="s">
        <v>779</v>
      </c>
      <c r="G47" s="7" t="s">
        <v>779</v>
      </c>
      <c r="H47" s="7"/>
      <c r="I47" s="7"/>
      <c r="J47" s="7"/>
      <c r="K47" s="7" t="s">
        <v>780</v>
      </c>
      <c r="L47" s="7" t="s">
        <v>779</v>
      </c>
      <c r="M47" s="7" t="s">
        <v>781</v>
      </c>
      <c r="N47" s="7"/>
    </row>
    <row r="48" spans="1:14" x14ac:dyDescent="0.3">
      <c r="A48" s="6" t="s">
        <v>292</v>
      </c>
      <c r="B48" s="6"/>
      <c r="C48" s="6"/>
      <c r="D48" s="6"/>
      <c r="E48" s="6"/>
      <c r="F48" s="6" t="s">
        <v>779</v>
      </c>
      <c r="G48" s="6" t="s">
        <v>779</v>
      </c>
      <c r="H48" s="6"/>
      <c r="I48" s="6"/>
      <c r="J48" s="6"/>
      <c r="K48" s="6" t="s">
        <v>780</v>
      </c>
      <c r="L48" s="6" t="s">
        <v>779</v>
      </c>
      <c r="M48" s="6" t="s">
        <v>781</v>
      </c>
      <c r="N48" s="6"/>
    </row>
    <row r="49" spans="1:14" x14ac:dyDescent="0.3">
      <c r="A49" s="7" t="s">
        <v>296</v>
      </c>
      <c r="B49" s="7"/>
      <c r="C49" s="7"/>
      <c r="D49" s="7"/>
      <c r="E49" s="7"/>
      <c r="F49" s="7" t="s">
        <v>779</v>
      </c>
      <c r="G49" s="7" t="s">
        <v>779</v>
      </c>
      <c r="H49" s="7"/>
      <c r="I49" s="7"/>
      <c r="J49" s="7"/>
      <c r="K49" s="7" t="s">
        <v>780</v>
      </c>
      <c r="L49" s="7" t="s">
        <v>779</v>
      </c>
      <c r="M49" s="7" t="s">
        <v>781</v>
      </c>
      <c r="N49" s="7"/>
    </row>
    <row r="50" spans="1:14" x14ac:dyDescent="0.3">
      <c r="A50" s="6" t="s">
        <v>300</v>
      </c>
      <c r="B50" s="6"/>
      <c r="C50" s="6"/>
      <c r="D50" s="6"/>
      <c r="E50" s="6"/>
      <c r="F50" s="6" t="s">
        <v>779</v>
      </c>
      <c r="G50" s="6" t="s">
        <v>779</v>
      </c>
      <c r="H50" s="6"/>
      <c r="I50" s="6"/>
      <c r="J50" s="6"/>
      <c r="K50" s="6" t="s">
        <v>780</v>
      </c>
      <c r="L50" s="6" t="s">
        <v>779</v>
      </c>
      <c r="M50" s="6" t="s">
        <v>781</v>
      </c>
      <c r="N50" s="6"/>
    </row>
    <row r="51" spans="1:14" x14ac:dyDescent="0.3">
      <c r="A51" s="7" t="s">
        <v>305</v>
      </c>
      <c r="B51" s="7"/>
      <c r="C51" s="7"/>
      <c r="D51" s="7"/>
      <c r="E51" s="7"/>
      <c r="F51" s="7" t="s">
        <v>779</v>
      </c>
      <c r="G51" s="7" t="s">
        <v>779</v>
      </c>
      <c r="H51" s="7"/>
      <c r="I51" s="7"/>
      <c r="J51" s="7"/>
      <c r="K51" s="7" t="s">
        <v>780</v>
      </c>
      <c r="L51" s="7" t="s">
        <v>779</v>
      </c>
      <c r="M51" s="7" t="s">
        <v>781</v>
      </c>
      <c r="N51" s="7"/>
    </row>
    <row r="52" spans="1:14" x14ac:dyDescent="0.3">
      <c r="A52" s="6" t="s">
        <v>309</v>
      </c>
      <c r="B52" s="6"/>
      <c r="C52" s="6"/>
      <c r="D52" s="6"/>
      <c r="E52" s="6"/>
      <c r="F52" s="6" t="s">
        <v>779</v>
      </c>
      <c r="G52" s="6" t="s">
        <v>779</v>
      </c>
      <c r="H52" s="6"/>
      <c r="I52" s="6"/>
      <c r="J52" s="6"/>
      <c r="K52" s="6" t="s">
        <v>780</v>
      </c>
      <c r="L52" s="6" t="s">
        <v>779</v>
      </c>
      <c r="M52" s="6" t="s">
        <v>781</v>
      </c>
      <c r="N52" s="6"/>
    </row>
    <row r="53" spans="1:14" x14ac:dyDescent="0.3">
      <c r="A53" s="7" t="s">
        <v>317</v>
      </c>
      <c r="B53" s="7"/>
      <c r="C53" s="7"/>
      <c r="D53" s="7"/>
      <c r="E53" s="7"/>
      <c r="F53" s="7" t="s">
        <v>779</v>
      </c>
      <c r="G53" s="7" t="s">
        <v>779</v>
      </c>
      <c r="H53" s="7"/>
      <c r="I53" s="7"/>
      <c r="J53" s="7"/>
      <c r="K53" s="7" t="s">
        <v>780</v>
      </c>
      <c r="L53" s="7" t="s">
        <v>779</v>
      </c>
      <c r="M53" s="7" t="s">
        <v>781</v>
      </c>
      <c r="N53" s="7"/>
    </row>
    <row r="54" spans="1:14" x14ac:dyDescent="0.3">
      <c r="A54" s="6" t="s">
        <v>323</v>
      </c>
      <c r="B54" s="6"/>
      <c r="C54" s="6"/>
      <c r="D54" s="6"/>
      <c r="E54" s="6"/>
      <c r="F54" s="6" t="s">
        <v>779</v>
      </c>
      <c r="G54" s="6" t="s">
        <v>779</v>
      </c>
      <c r="H54" s="6"/>
      <c r="I54" s="6"/>
      <c r="J54" s="6"/>
      <c r="K54" s="6" t="s">
        <v>780</v>
      </c>
      <c r="L54" s="6" t="s">
        <v>779</v>
      </c>
      <c r="M54" s="6" t="s">
        <v>781</v>
      </c>
      <c r="N54" s="6"/>
    </row>
    <row r="55" spans="1:14" x14ac:dyDescent="0.3">
      <c r="A55" s="7" t="s">
        <v>328</v>
      </c>
      <c r="B55" s="7"/>
      <c r="C55" s="7"/>
      <c r="D55" s="7"/>
      <c r="E55" s="7"/>
      <c r="F55" s="7" t="s">
        <v>779</v>
      </c>
      <c r="G55" s="7" t="s">
        <v>779</v>
      </c>
      <c r="H55" s="7"/>
      <c r="I55" s="7"/>
      <c r="J55" s="7"/>
      <c r="K55" s="7" t="s">
        <v>780</v>
      </c>
      <c r="L55" s="7" t="s">
        <v>779</v>
      </c>
      <c r="M55" s="7" t="s">
        <v>781</v>
      </c>
      <c r="N55" s="7"/>
    </row>
    <row r="56" spans="1:14" x14ac:dyDescent="0.3">
      <c r="A56" s="6" t="s">
        <v>333</v>
      </c>
      <c r="B56" s="6"/>
      <c r="C56" s="6"/>
      <c r="D56" s="6"/>
      <c r="E56" s="6"/>
      <c r="F56" s="6" t="s">
        <v>779</v>
      </c>
      <c r="G56" s="6" t="s">
        <v>779</v>
      </c>
      <c r="H56" s="6"/>
      <c r="I56" s="6"/>
      <c r="J56" s="6"/>
      <c r="K56" s="6" t="s">
        <v>780</v>
      </c>
      <c r="L56" s="6" t="s">
        <v>779</v>
      </c>
      <c r="M56" s="6" t="s">
        <v>781</v>
      </c>
      <c r="N56" s="6"/>
    </row>
    <row r="57" spans="1:14" x14ac:dyDescent="0.3">
      <c r="A57" s="7" t="s">
        <v>340</v>
      </c>
      <c r="B57" s="7"/>
      <c r="C57" s="7"/>
      <c r="D57" s="7"/>
      <c r="E57" s="7"/>
      <c r="F57" s="7" t="s">
        <v>779</v>
      </c>
      <c r="G57" s="7" t="s">
        <v>779</v>
      </c>
      <c r="H57" s="7"/>
      <c r="I57" s="7"/>
      <c r="J57" s="7"/>
      <c r="K57" s="7" t="s">
        <v>780</v>
      </c>
      <c r="L57" s="7" t="s">
        <v>779</v>
      </c>
      <c r="M57" s="7" t="s">
        <v>781</v>
      </c>
      <c r="N57" s="7"/>
    </row>
    <row r="58" spans="1:14" x14ac:dyDescent="0.3">
      <c r="A58" s="6" t="s">
        <v>344</v>
      </c>
      <c r="B58" s="6"/>
      <c r="C58" s="6"/>
      <c r="D58" s="6"/>
      <c r="E58" s="6"/>
      <c r="F58" s="6" t="s">
        <v>779</v>
      </c>
      <c r="G58" s="6" t="s">
        <v>779</v>
      </c>
      <c r="H58" s="6"/>
      <c r="I58" s="6"/>
      <c r="J58" s="6"/>
      <c r="K58" s="6" t="s">
        <v>780</v>
      </c>
      <c r="L58" s="6" t="s">
        <v>779</v>
      </c>
      <c r="M58" s="6" t="s">
        <v>781</v>
      </c>
      <c r="N58" s="6"/>
    </row>
    <row r="59" spans="1:14" x14ac:dyDescent="0.3">
      <c r="A59" s="7" t="s">
        <v>349</v>
      </c>
      <c r="B59" s="7"/>
      <c r="C59" s="7"/>
      <c r="D59" s="7"/>
      <c r="E59" s="7"/>
      <c r="F59" s="7" t="s">
        <v>779</v>
      </c>
      <c r="G59" s="7" t="s">
        <v>779</v>
      </c>
      <c r="H59" s="7"/>
      <c r="I59" s="7"/>
      <c r="J59" s="7"/>
      <c r="K59" s="7" t="s">
        <v>780</v>
      </c>
      <c r="L59" s="7" t="s">
        <v>779</v>
      </c>
      <c r="M59" s="7" t="s">
        <v>781</v>
      </c>
      <c r="N59" s="7"/>
    </row>
    <row r="60" spans="1:14" x14ac:dyDescent="0.3">
      <c r="A60" s="6" t="s">
        <v>356</v>
      </c>
      <c r="B60" s="6"/>
      <c r="C60" s="6"/>
      <c r="D60" s="6"/>
      <c r="E60" s="6"/>
      <c r="F60" s="6" t="s">
        <v>779</v>
      </c>
      <c r="G60" s="6" t="s">
        <v>779</v>
      </c>
      <c r="H60" s="6"/>
      <c r="I60" s="6"/>
      <c r="J60" s="6"/>
      <c r="K60" s="6" t="s">
        <v>780</v>
      </c>
      <c r="L60" s="6" t="s">
        <v>779</v>
      </c>
      <c r="M60" s="6" t="s">
        <v>781</v>
      </c>
      <c r="N60" s="6"/>
    </row>
    <row r="61" spans="1:14" x14ac:dyDescent="0.3">
      <c r="A61" s="7" t="s">
        <v>361</v>
      </c>
      <c r="B61" s="7"/>
      <c r="C61" s="7"/>
      <c r="D61" s="7"/>
      <c r="E61" s="7"/>
      <c r="F61" s="7" t="s">
        <v>779</v>
      </c>
      <c r="G61" s="7" t="s">
        <v>779</v>
      </c>
      <c r="H61" s="7"/>
      <c r="I61" s="7"/>
      <c r="J61" s="7"/>
      <c r="K61" s="7" t="s">
        <v>780</v>
      </c>
      <c r="L61" s="7" t="s">
        <v>779</v>
      </c>
      <c r="M61" s="7" t="s">
        <v>781</v>
      </c>
      <c r="N61" s="7"/>
    </row>
    <row r="62" spans="1:14" x14ac:dyDescent="0.3">
      <c r="A62" s="6" t="s">
        <v>366</v>
      </c>
      <c r="B62" s="6"/>
      <c r="C62" s="6"/>
      <c r="D62" s="6"/>
      <c r="E62" s="6"/>
      <c r="F62" s="6" t="s">
        <v>779</v>
      </c>
      <c r="G62" s="6" t="s">
        <v>779</v>
      </c>
      <c r="H62" s="6"/>
      <c r="I62" s="6"/>
      <c r="J62" s="6"/>
      <c r="K62" s="6" t="s">
        <v>780</v>
      </c>
      <c r="L62" s="6" t="s">
        <v>779</v>
      </c>
      <c r="M62" s="6" t="s">
        <v>781</v>
      </c>
      <c r="N62" s="6"/>
    </row>
    <row r="63" spans="1:14" x14ac:dyDescent="0.3">
      <c r="A63" s="7" t="s">
        <v>370</v>
      </c>
      <c r="B63" s="7"/>
      <c r="C63" s="7"/>
      <c r="D63" s="7"/>
      <c r="E63" s="7"/>
      <c r="F63" s="7" t="s">
        <v>779</v>
      </c>
      <c r="G63" s="7" t="s">
        <v>779</v>
      </c>
      <c r="H63" s="7"/>
      <c r="I63" s="7"/>
      <c r="J63" s="7"/>
      <c r="K63" s="7" t="s">
        <v>780</v>
      </c>
      <c r="L63" s="7" t="s">
        <v>779</v>
      </c>
      <c r="M63" s="7" t="s">
        <v>781</v>
      </c>
      <c r="N63" s="7"/>
    </row>
    <row r="64" spans="1:14" x14ac:dyDescent="0.3">
      <c r="A64" s="6" t="s">
        <v>375</v>
      </c>
      <c r="B64" s="6"/>
      <c r="C64" s="6"/>
      <c r="D64" s="6"/>
      <c r="E64" s="6"/>
      <c r="F64" s="6" t="s">
        <v>779</v>
      </c>
      <c r="G64" s="6" t="s">
        <v>779</v>
      </c>
      <c r="H64" s="6"/>
      <c r="I64" s="6"/>
      <c r="J64" s="6"/>
      <c r="K64" s="6" t="s">
        <v>780</v>
      </c>
      <c r="L64" s="6" t="s">
        <v>779</v>
      </c>
      <c r="M64" s="6" t="s">
        <v>781</v>
      </c>
      <c r="N64" s="6"/>
    </row>
    <row r="65" spans="1:14" x14ac:dyDescent="0.3">
      <c r="A65" s="7" t="s">
        <v>381</v>
      </c>
      <c r="B65" s="7"/>
      <c r="C65" s="7"/>
      <c r="D65" s="7"/>
      <c r="E65" s="7"/>
      <c r="F65" s="7" t="s">
        <v>779</v>
      </c>
      <c r="G65" s="7" t="s">
        <v>779</v>
      </c>
      <c r="H65" s="7"/>
      <c r="I65" s="7"/>
      <c r="J65" s="7"/>
      <c r="K65" s="7" t="s">
        <v>780</v>
      </c>
      <c r="L65" s="7" t="s">
        <v>779</v>
      </c>
      <c r="M65" s="7" t="s">
        <v>781</v>
      </c>
      <c r="N65" s="7"/>
    </row>
    <row r="66" spans="1:14" x14ac:dyDescent="0.3">
      <c r="A66" s="6" t="s">
        <v>388</v>
      </c>
      <c r="B66" s="6"/>
      <c r="C66" s="6"/>
      <c r="D66" s="6"/>
      <c r="E66" s="6"/>
      <c r="F66" s="6" t="s">
        <v>779</v>
      </c>
      <c r="G66" s="6" t="s">
        <v>779</v>
      </c>
      <c r="H66" s="6"/>
      <c r="I66" s="6"/>
      <c r="J66" s="6"/>
      <c r="K66" s="6" t="s">
        <v>780</v>
      </c>
      <c r="L66" s="6" t="s">
        <v>779</v>
      </c>
      <c r="M66" s="6" t="s">
        <v>781</v>
      </c>
      <c r="N66" s="6"/>
    </row>
    <row r="67" spans="1:14" x14ac:dyDescent="0.3">
      <c r="A67" s="7" t="s">
        <v>393</v>
      </c>
      <c r="B67" s="7"/>
      <c r="C67" s="7"/>
      <c r="D67" s="7"/>
      <c r="E67" s="7"/>
      <c r="F67" s="7" t="s">
        <v>779</v>
      </c>
      <c r="G67" s="7" t="s">
        <v>779</v>
      </c>
      <c r="H67" s="7"/>
      <c r="I67" s="7"/>
      <c r="J67" s="7"/>
      <c r="K67" s="7" t="s">
        <v>780</v>
      </c>
      <c r="L67" s="7" t="s">
        <v>779</v>
      </c>
      <c r="M67" s="7" t="s">
        <v>781</v>
      </c>
      <c r="N67" s="7"/>
    </row>
    <row r="68" spans="1:14" x14ac:dyDescent="0.3">
      <c r="A68" s="6" t="s">
        <v>398</v>
      </c>
      <c r="B68" s="6"/>
      <c r="C68" s="6"/>
      <c r="D68" s="6"/>
      <c r="E68" s="6"/>
      <c r="F68" s="6" t="s">
        <v>779</v>
      </c>
      <c r="G68" s="6" t="s">
        <v>779</v>
      </c>
      <c r="H68" s="6"/>
      <c r="I68" s="6"/>
      <c r="J68" s="6"/>
      <c r="K68" s="6" t="s">
        <v>780</v>
      </c>
      <c r="L68" s="6" t="s">
        <v>779</v>
      </c>
      <c r="M68" s="6" t="s">
        <v>781</v>
      </c>
      <c r="N68" s="6"/>
    </row>
    <row r="69" spans="1:14" x14ac:dyDescent="0.3">
      <c r="A69" s="7" t="s">
        <v>403</v>
      </c>
      <c r="B69" s="7"/>
      <c r="C69" s="7"/>
      <c r="D69" s="7"/>
      <c r="E69" s="7"/>
      <c r="F69" s="7" t="s">
        <v>779</v>
      </c>
      <c r="G69" s="7" t="s">
        <v>779</v>
      </c>
      <c r="H69" s="7"/>
      <c r="I69" s="7"/>
      <c r="J69" s="7"/>
      <c r="K69" s="7" t="s">
        <v>780</v>
      </c>
      <c r="L69" s="7" t="s">
        <v>779</v>
      </c>
      <c r="M69" s="7" t="s">
        <v>781</v>
      </c>
      <c r="N69" s="7"/>
    </row>
    <row r="70" spans="1:14" x14ac:dyDescent="0.3">
      <c r="A70" s="6" t="s">
        <v>407</v>
      </c>
      <c r="B70" s="6"/>
      <c r="C70" s="6"/>
      <c r="D70" s="6"/>
      <c r="E70" s="6"/>
      <c r="F70" s="6" t="s">
        <v>779</v>
      </c>
      <c r="G70" s="6" t="s">
        <v>779</v>
      </c>
      <c r="H70" s="6"/>
      <c r="I70" s="6"/>
      <c r="J70" s="6"/>
      <c r="K70" s="6" t="s">
        <v>780</v>
      </c>
      <c r="L70" s="6" t="s">
        <v>779</v>
      </c>
      <c r="M70" s="6" t="s">
        <v>781</v>
      </c>
      <c r="N70" s="6"/>
    </row>
    <row r="71" spans="1:14" x14ac:dyDescent="0.3">
      <c r="A71" s="7" t="s">
        <v>412</v>
      </c>
      <c r="B71" s="7"/>
      <c r="C71" s="7"/>
      <c r="D71" s="7"/>
      <c r="E71" s="7"/>
      <c r="F71" s="7" t="s">
        <v>779</v>
      </c>
      <c r="G71" s="7" t="s">
        <v>779</v>
      </c>
      <c r="H71" s="7"/>
      <c r="I71" s="7"/>
      <c r="J71" s="7"/>
      <c r="K71" s="7" t="s">
        <v>780</v>
      </c>
      <c r="L71" s="7" t="s">
        <v>779</v>
      </c>
      <c r="M71" s="7" t="s">
        <v>781</v>
      </c>
      <c r="N71" s="7"/>
    </row>
    <row r="72" spans="1:14" x14ac:dyDescent="0.3">
      <c r="A72" s="6" t="s">
        <v>417</v>
      </c>
      <c r="B72" s="6"/>
      <c r="C72" s="6"/>
      <c r="D72" s="6"/>
      <c r="E72" s="6"/>
      <c r="F72" s="6" t="s">
        <v>779</v>
      </c>
      <c r="G72" s="6" t="s">
        <v>779</v>
      </c>
      <c r="H72" s="6"/>
      <c r="I72" s="6"/>
      <c r="J72" s="6"/>
      <c r="K72" s="6" t="s">
        <v>780</v>
      </c>
      <c r="L72" s="6" t="s">
        <v>779</v>
      </c>
      <c r="M72" s="6" t="s">
        <v>781</v>
      </c>
      <c r="N72" s="6"/>
    </row>
    <row r="73" spans="1:14" x14ac:dyDescent="0.3">
      <c r="A73" s="7" t="s">
        <v>421</v>
      </c>
      <c r="B73" s="7"/>
      <c r="C73" s="7"/>
      <c r="D73" s="7"/>
      <c r="E73" s="7"/>
      <c r="F73" s="7" t="s">
        <v>779</v>
      </c>
      <c r="G73" s="7" t="s">
        <v>779</v>
      </c>
      <c r="H73" s="7"/>
      <c r="I73" s="7"/>
      <c r="J73" s="7"/>
      <c r="K73" s="7" t="s">
        <v>780</v>
      </c>
      <c r="L73" s="7" t="s">
        <v>779</v>
      </c>
      <c r="M73" s="7" t="s">
        <v>781</v>
      </c>
      <c r="N73" s="7"/>
    </row>
    <row r="74" spans="1:14" x14ac:dyDescent="0.3">
      <c r="A74" s="6" t="s">
        <v>426</v>
      </c>
      <c r="B74" s="6"/>
      <c r="C74" s="6"/>
      <c r="D74" s="6"/>
      <c r="E74" s="6"/>
      <c r="F74" s="6" t="s">
        <v>779</v>
      </c>
      <c r="G74" s="6" t="s">
        <v>779</v>
      </c>
      <c r="H74" s="6"/>
      <c r="I74" s="6"/>
      <c r="J74" s="6"/>
      <c r="K74" s="6" t="s">
        <v>780</v>
      </c>
      <c r="L74" s="6" t="s">
        <v>779</v>
      </c>
      <c r="M74" s="6" t="s">
        <v>781</v>
      </c>
      <c r="N74" s="6"/>
    </row>
    <row r="75" spans="1:14" x14ac:dyDescent="0.3">
      <c r="A75" s="7" t="s">
        <v>431</v>
      </c>
      <c r="B75" s="7"/>
      <c r="C75" s="7"/>
      <c r="D75" s="7"/>
      <c r="E75" s="7"/>
      <c r="F75" s="7" t="s">
        <v>779</v>
      </c>
      <c r="G75" s="7" t="s">
        <v>779</v>
      </c>
      <c r="H75" s="7"/>
      <c r="I75" s="7"/>
      <c r="J75" s="7"/>
      <c r="K75" s="7" t="s">
        <v>780</v>
      </c>
      <c r="L75" s="7" t="s">
        <v>779</v>
      </c>
      <c r="M75" s="7" t="s">
        <v>781</v>
      </c>
      <c r="N75" s="7"/>
    </row>
    <row r="76" spans="1:14" x14ac:dyDescent="0.3">
      <c r="A76" s="6" t="s">
        <v>437</v>
      </c>
      <c r="B76" s="6"/>
      <c r="C76" s="6"/>
      <c r="D76" s="6"/>
      <c r="E76" s="6"/>
      <c r="F76" s="6" t="s">
        <v>779</v>
      </c>
      <c r="G76" s="6" t="s">
        <v>779</v>
      </c>
      <c r="H76" s="6"/>
      <c r="I76" s="6"/>
      <c r="J76" s="6"/>
      <c r="K76" s="6" t="s">
        <v>780</v>
      </c>
      <c r="L76" s="6" t="s">
        <v>779</v>
      </c>
      <c r="M76" s="6" t="s">
        <v>781</v>
      </c>
      <c r="N76" s="6"/>
    </row>
    <row r="77" spans="1:14" x14ac:dyDescent="0.3">
      <c r="A77" s="7" t="s">
        <v>443</v>
      </c>
      <c r="B77" s="7"/>
      <c r="C77" s="7"/>
      <c r="D77" s="7"/>
      <c r="E77" s="7"/>
      <c r="F77" s="7" t="s">
        <v>779</v>
      </c>
      <c r="G77" s="7" t="s">
        <v>779</v>
      </c>
      <c r="H77" s="7"/>
      <c r="I77" s="7"/>
      <c r="J77" s="7"/>
      <c r="K77" s="7" t="s">
        <v>780</v>
      </c>
      <c r="L77" s="7" t="s">
        <v>779</v>
      </c>
      <c r="M77" s="7" t="s">
        <v>781</v>
      </c>
      <c r="N77" s="7"/>
    </row>
    <row r="78" spans="1:14" x14ac:dyDescent="0.3">
      <c r="A78" s="6" t="s">
        <v>447</v>
      </c>
      <c r="B78" s="6"/>
      <c r="C78" s="6"/>
      <c r="D78" s="6"/>
      <c r="E78" s="6"/>
      <c r="F78" s="6" t="s">
        <v>779</v>
      </c>
      <c r="G78" s="6" t="s">
        <v>779</v>
      </c>
      <c r="H78" s="6"/>
      <c r="I78" s="6"/>
      <c r="J78" s="6"/>
      <c r="K78" s="6" t="s">
        <v>780</v>
      </c>
      <c r="L78" s="6" t="s">
        <v>779</v>
      </c>
      <c r="M78" s="6" t="s">
        <v>781</v>
      </c>
      <c r="N78" s="6"/>
    </row>
    <row r="79" spans="1:14" x14ac:dyDescent="0.3">
      <c r="A79" s="7" t="s">
        <v>452</v>
      </c>
      <c r="B79" s="7"/>
      <c r="C79" s="7"/>
      <c r="D79" s="7"/>
      <c r="E79" s="7"/>
      <c r="F79" s="7" t="s">
        <v>779</v>
      </c>
      <c r="G79" s="7" t="s">
        <v>779</v>
      </c>
      <c r="H79" s="7"/>
      <c r="I79" s="7"/>
      <c r="J79" s="7"/>
      <c r="K79" s="7" t="s">
        <v>780</v>
      </c>
      <c r="L79" s="7" t="s">
        <v>779</v>
      </c>
      <c r="M79" s="7" t="s">
        <v>781</v>
      </c>
      <c r="N79" s="7"/>
    </row>
    <row r="80" spans="1:14" x14ac:dyDescent="0.3">
      <c r="A80" s="6" t="s">
        <v>456</v>
      </c>
      <c r="B80" s="6"/>
      <c r="C80" s="6"/>
      <c r="D80" s="6"/>
      <c r="E80" s="6"/>
      <c r="F80" s="6" t="s">
        <v>779</v>
      </c>
      <c r="G80" s="6" t="s">
        <v>779</v>
      </c>
      <c r="H80" s="6"/>
      <c r="I80" s="6"/>
      <c r="J80" s="6"/>
      <c r="K80" s="6" t="s">
        <v>780</v>
      </c>
      <c r="L80" s="6" t="s">
        <v>779</v>
      </c>
      <c r="M80" s="6" t="s">
        <v>781</v>
      </c>
      <c r="N80" s="6"/>
    </row>
    <row r="81" spans="1:14" x14ac:dyDescent="0.3">
      <c r="A81" s="7" t="s">
        <v>463</v>
      </c>
      <c r="B81" s="7"/>
      <c r="C81" s="7"/>
      <c r="D81" s="7"/>
      <c r="E81" s="7"/>
      <c r="F81" s="7" t="s">
        <v>779</v>
      </c>
      <c r="G81" s="7" t="s">
        <v>779</v>
      </c>
      <c r="H81" s="7"/>
      <c r="I81" s="7"/>
      <c r="J81" s="7"/>
      <c r="K81" s="7" t="s">
        <v>780</v>
      </c>
      <c r="L81" s="7" t="s">
        <v>779</v>
      </c>
      <c r="M81" s="7" t="s">
        <v>781</v>
      </c>
      <c r="N81" s="7"/>
    </row>
    <row r="82" spans="1:14" x14ac:dyDescent="0.3">
      <c r="A82" s="6" t="s">
        <v>468</v>
      </c>
      <c r="B82" s="6"/>
      <c r="C82" s="6"/>
      <c r="D82" s="6"/>
      <c r="E82" s="6"/>
      <c r="F82" s="6" t="s">
        <v>779</v>
      </c>
      <c r="G82" s="6" t="s">
        <v>779</v>
      </c>
      <c r="H82" s="6"/>
      <c r="I82" s="6"/>
      <c r="J82" s="6"/>
      <c r="K82" s="6" t="s">
        <v>780</v>
      </c>
      <c r="L82" s="6" t="s">
        <v>779</v>
      </c>
      <c r="M82" s="6" t="s">
        <v>781</v>
      </c>
      <c r="N82" s="6"/>
    </row>
    <row r="83" spans="1:14" x14ac:dyDescent="0.3">
      <c r="A83" s="7" t="s">
        <v>472</v>
      </c>
      <c r="B83" s="7"/>
      <c r="C83" s="7"/>
      <c r="D83" s="7"/>
      <c r="E83" s="7"/>
      <c r="F83" s="7" t="s">
        <v>779</v>
      </c>
      <c r="G83" s="7" t="s">
        <v>779</v>
      </c>
      <c r="H83" s="7"/>
      <c r="I83" s="7"/>
      <c r="J83" s="7"/>
      <c r="K83" s="7" t="s">
        <v>780</v>
      </c>
      <c r="L83" s="7" t="s">
        <v>779</v>
      </c>
      <c r="M83" s="7" t="s">
        <v>781</v>
      </c>
      <c r="N83" s="7"/>
    </row>
    <row r="84" spans="1:14" x14ac:dyDescent="0.3">
      <c r="A84" s="6" t="s">
        <v>476</v>
      </c>
      <c r="B84" s="6"/>
      <c r="C84" s="6"/>
      <c r="D84" s="6"/>
      <c r="E84" s="6"/>
      <c r="F84" s="6" t="s">
        <v>779</v>
      </c>
      <c r="G84" s="6" t="s">
        <v>779</v>
      </c>
      <c r="H84" s="6"/>
      <c r="I84" s="6"/>
      <c r="J84" s="6"/>
      <c r="K84" s="6" t="s">
        <v>780</v>
      </c>
      <c r="L84" s="6" t="s">
        <v>779</v>
      </c>
      <c r="M84" s="6" t="s">
        <v>781</v>
      </c>
      <c r="N84" s="6"/>
    </row>
    <row r="85" spans="1:14" x14ac:dyDescent="0.3">
      <c r="A85" s="7" t="s">
        <v>482</v>
      </c>
      <c r="B85" s="7"/>
      <c r="C85" s="7"/>
      <c r="D85" s="7"/>
      <c r="E85" s="7"/>
      <c r="F85" s="7" t="s">
        <v>779</v>
      </c>
      <c r="G85" s="7" t="s">
        <v>779</v>
      </c>
      <c r="H85" s="7"/>
      <c r="I85" s="7"/>
      <c r="J85" s="7"/>
      <c r="K85" s="7" t="s">
        <v>780</v>
      </c>
      <c r="L85" s="7" t="s">
        <v>779</v>
      </c>
      <c r="M85" s="7" t="s">
        <v>781</v>
      </c>
      <c r="N85" s="7"/>
    </row>
    <row r="86" spans="1:14" x14ac:dyDescent="0.3">
      <c r="A86" s="6" t="s">
        <v>486</v>
      </c>
      <c r="B86" s="6"/>
      <c r="C86" s="6"/>
      <c r="D86" s="6"/>
      <c r="E86" s="6"/>
      <c r="F86" s="6" t="s">
        <v>779</v>
      </c>
      <c r="G86" s="6" t="s">
        <v>779</v>
      </c>
      <c r="H86" s="6"/>
      <c r="I86" s="6"/>
      <c r="J86" s="6"/>
      <c r="K86" s="6" t="s">
        <v>780</v>
      </c>
      <c r="L86" s="6" t="s">
        <v>779</v>
      </c>
      <c r="M86" s="6" t="s">
        <v>781</v>
      </c>
      <c r="N86" s="6"/>
    </row>
    <row r="87" spans="1:14" x14ac:dyDescent="0.3">
      <c r="A87" s="7" t="s">
        <v>492</v>
      </c>
      <c r="B87" s="7"/>
      <c r="C87" s="7"/>
      <c r="D87" s="7"/>
      <c r="E87" s="7"/>
      <c r="F87" s="7" t="s">
        <v>779</v>
      </c>
      <c r="G87" s="7" t="s">
        <v>779</v>
      </c>
      <c r="H87" s="7"/>
      <c r="I87" s="7"/>
      <c r="J87" s="7"/>
      <c r="K87" s="7" t="s">
        <v>780</v>
      </c>
      <c r="L87" s="7" t="s">
        <v>779</v>
      </c>
      <c r="M87" s="7" t="s">
        <v>781</v>
      </c>
      <c r="N87" s="7"/>
    </row>
    <row r="88" spans="1:14" x14ac:dyDescent="0.3">
      <c r="A88" s="6" t="s">
        <v>496</v>
      </c>
      <c r="B88" s="6"/>
      <c r="C88" s="6"/>
      <c r="D88" s="6"/>
      <c r="E88" s="6"/>
      <c r="F88" s="6" t="s">
        <v>779</v>
      </c>
      <c r="G88" s="6" t="s">
        <v>779</v>
      </c>
      <c r="H88" s="6"/>
      <c r="I88" s="6"/>
      <c r="J88" s="6"/>
      <c r="K88" s="6" t="s">
        <v>780</v>
      </c>
      <c r="L88" s="6" t="s">
        <v>779</v>
      </c>
      <c r="M88" s="6" t="s">
        <v>781</v>
      </c>
      <c r="N88" s="6"/>
    </row>
    <row r="89" spans="1:14" x14ac:dyDescent="0.3">
      <c r="A89" s="7" t="s">
        <v>501</v>
      </c>
      <c r="B89" s="7"/>
      <c r="C89" s="7"/>
      <c r="D89" s="7"/>
      <c r="E89" s="7"/>
      <c r="F89" s="7" t="s">
        <v>779</v>
      </c>
      <c r="G89" s="7" t="s">
        <v>779</v>
      </c>
      <c r="H89" s="7"/>
      <c r="I89" s="7"/>
      <c r="J89" s="7"/>
      <c r="K89" s="7" t="s">
        <v>780</v>
      </c>
      <c r="L89" s="7" t="s">
        <v>779</v>
      </c>
      <c r="M89" s="7" t="s">
        <v>781</v>
      </c>
      <c r="N89" s="7"/>
    </row>
    <row r="90" spans="1:14" x14ac:dyDescent="0.3">
      <c r="A90" s="6" t="s">
        <v>506</v>
      </c>
      <c r="B90" s="6"/>
      <c r="C90" s="6"/>
      <c r="D90" s="6"/>
      <c r="E90" s="6"/>
      <c r="F90" s="6" t="s">
        <v>779</v>
      </c>
      <c r="G90" s="6" t="s">
        <v>779</v>
      </c>
      <c r="H90" s="6"/>
      <c r="I90" s="6"/>
      <c r="J90" s="6"/>
      <c r="K90" s="6" t="s">
        <v>780</v>
      </c>
      <c r="L90" s="6" t="s">
        <v>779</v>
      </c>
      <c r="M90" s="6" t="s">
        <v>781</v>
      </c>
      <c r="N90" s="6"/>
    </row>
    <row r="91" spans="1:14" x14ac:dyDescent="0.3">
      <c r="A91" s="7" t="s">
        <v>511</v>
      </c>
      <c r="B91" s="7"/>
      <c r="C91" s="7"/>
      <c r="D91" s="7"/>
      <c r="E91" s="7"/>
      <c r="F91" s="7" t="s">
        <v>779</v>
      </c>
      <c r="G91" s="7" t="s">
        <v>779</v>
      </c>
      <c r="H91" s="7"/>
      <c r="I91" s="7"/>
      <c r="J91" s="7"/>
      <c r="K91" s="7" t="s">
        <v>780</v>
      </c>
      <c r="L91" s="7" t="s">
        <v>779</v>
      </c>
      <c r="M91" s="7" t="s">
        <v>781</v>
      </c>
      <c r="N91" s="7"/>
    </row>
    <row r="92" spans="1:14" x14ac:dyDescent="0.3">
      <c r="A92" s="6" t="s">
        <v>515</v>
      </c>
      <c r="B92" s="6"/>
      <c r="C92" s="6"/>
      <c r="D92" s="6"/>
      <c r="E92" s="6"/>
      <c r="F92" s="6" t="s">
        <v>779</v>
      </c>
      <c r="G92" s="6" t="s">
        <v>779</v>
      </c>
      <c r="H92" s="6"/>
      <c r="I92" s="6"/>
      <c r="J92" s="6"/>
      <c r="K92" s="6" t="s">
        <v>780</v>
      </c>
      <c r="L92" s="6" t="s">
        <v>779</v>
      </c>
      <c r="M92" s="6" t="s">
        <v>781</v>
      </c>
      <c r="N92" s="6"/>
    </row>
    <row r="93" spans="1:14" x14ac:dyDescent="0.3">
      <c r="A93" s="7" t="s">
        <v>519</v>
      </c>
      <c r="B93" s="7"/>
      <c r="C93" s="7"/>
      <c r="D93" s="7"/>
      <c r="E93" s="7"/>
      <c r="F93" s="7" t="s">
        <v>779</v>
      </c>
      <c r="G93" s="7" t="s">
        <v>779</v>
      </c>
      <c r="H93" s="7"/>
      <c r="I93" s="7"/>
      <c r="J93" s="7"/>
      <c r="K93" s="7" t="s">
        <v>780</v>
      </c>
      <c r="L93" s="7" t="s">
        <v>779</v>
      </c>
      <c r="M93" s="7" t="s">
        <v>781</v>
      </c>
      <c r="N93" s="7"/>
    </row>
    <row r="94" spans="1:14" x14ac:dyDescent="0.3">
      <c r="A94" s="6" t="s">
        <v>525</v>
      </c>
      <c r="B94" s="6"/>
      <c r="C94" s="6"/>
      <c r="D94" s="6"/>
      <c r="E94" s="6"/>
      <c r="F94" s="6" t="s">
        <v>779</v>
      </c>
      <c r="G94" s="6" t="s">
        <v>779</v>
      </c>
      <c r="H94" s="6"/>
      <c r="I94" s="6"/>
      <c r="J94" s="6"/>
      <c r="K94" s="6" t="s">
        <v>780</v>
      </c>
      <c r="L94" s="6" t="s">
        <v>779</v>
      </c>
      <c r="M94" s="6" t="s">
        <v>781</v>
      </c>
      <c r="N94" s="6"/>
    </row>
    <row r="95" spans="1:14" x14ac:dyDescent="0.3">
      <c r="A95" s="7" t="s">
        <v>530</v>
      </c>
      <c r="B95" s="7"/>
      <c r="C95" s="7"/>
      <c r="D95" s="7"/>
      <c r="E95" s="7"/>
      <c r="F95" s="7" t="s">
        <v>779</v>
      </c>
      <c r="G95" s="7" t="s">
        <v>779</v>
      </c>
      <c r="H95" s="7"/>
      <c r="I95" s="7"/>
      <c r="J95" s="7"/>
      <c r="K95" s="7" t="s">
        <v>780</v>
      </c>
      <c r="L95" s="7" t="s">
        <v>779</v>
      </c>
      <c r="M95" s="7" t="s">
        <v>781</v>
      </c>
      <c r="N95" s="7"/>
    </row>
    <row r="96" spans="1:14" x14ac:dyDescent="0.3">
      <c r="A96" s="6" t="s">
        <v>537</v>
      </c>
      <c r="B96" s="6"/>
      <c r="C96" s="6"/>
      <c r="D96" s="6"/>
      <c r="E96" s="6"/>
      <c r="F96" s="6" t="s">
        <v>779</v>
      </c>
      <c r="G96" s="6" t="s">
        <v>779</v>
      </c>
      <c r="H96" s="6"/>
      <c r="I96" s="6"/>
      <c r="J96" s="6"/>
      <c r="K96" s="6" t="s">
        <v>780</v>
      </c>
      <c r="L96" s="6" t="s">
        <v>779</v>
      </c>
      <c r="M96" s="6" t="s">
        <v>781</v>
      </c>
      <c r="N96" s="6"/>
    </row>
    <row r="97" spans="1:14" x14ac:dyDescent="0.3">
      <c r="A97" s="7" t="s">
        <v>543</v>
      </c>
      <c r="B97" s="7"/>
      <c r="C97" s="7"/>
      <c r="D97" s="7"/>
      <c r="E97" s="7"/>
      <c r="F97" s="7" t="s">
        <v>779</v>
      </c>
      <c r="G97" s="7" t="s">
        <v>779</v>
      </c>
      <c r="H97" s="7"/>
      <c r="I97" s="7"/>
      <c r="J97" s="7"/>
      <c r="K97" s="7" t="s">
        <v>780</v>
      </c>
      <c r="L97" s="7" t="s">
        <v>779</v>
      </c>
      <c r="M97" s="7" t="s">
        <v>781</v>
      </c>
      <c r="N97" s="7"/>
    </row>
    <row r="98" spans="1:14" x14ac:dyDescent="0.3">
      <c r="A98" s="6" t="s">
        <v>549</v>
      </c>
      <c r="B98" s="6"/>
      <c r="C98" s="6"/>
      <c r="D98" s="6"/>
      <c r="E98" s="6"/>
      <c r="F98" s="6" t="s">
        <v>779</v>
      </c>
      <c r="G98" s="6" t="s">
        <v>779</v>
      </c>
      <c r="H98" s="6"/>
      <c r="I98" s="6"/>
      <c r="J98" s="6"/>
      <c r="K98" s="6" t="s">
        <v>780</v>
      </c>
      <c r="L98" s="6" t="s">
        <v>779</v>
      </c>
      <c r="M98" s="6" t="s">
        <v>781</v>
      </c>
      <c r="N98" s="6"/>
    </row>
    <row r="99" spans="1:14" x14ac:dyDescent="0.3">
      <c r="A99" s="7" t="s">
        <v>555</v>
      </c>
      <c r="B99" s="7"/>
      <c r="C99" s="7"/>
      <c r="D99" s="7"/>
      <c r="E99" s="7"/>
      <c r="F99" s="7" t="s">
        <v>779</v>
      </c>
      <c r="G99" s="7" t="s">
        <v>779</v>
      </c>
      <c r="H99" s="7"/>
      <c r="I99" s="7"/>
      <c r="J99" s="7"/>
      <c r="K99" s="7" t="s">
        <v>780</v>
      </c>
      <c r="L99" s="7" t="s">
        <v>779</v>
      </c>
      <c r="M99" s="7" t="s">
        <v>781</v>
      </c>
      <c r="N99" s="7"/>
    </row>
    <row r="100" spans="1:14" x14ac:dyDescent="0.3">
      <c r="A100" s="6" t="s">
        <v>562</v>
      </c>
      <c r="B100" s="6"/>
      <c r="C100" s="6"/>
      <c r="D100" s="6"/>
      <c r="E100" s="6"/>
      <c r="F100" s="6" t="s">
        <v>779</v>
      </c>
      <c r="G100" s="6" t="s">
        <v>779</v>
      </c>
      <c r="H100" s="6"/>
      <c r="I100" s="6"/>
      <c r="J100" s="6"/>
      <c r="K100" s="6" t="s">
        <v>780</v>
      </c>
      <c r="L100" s="6" t="s">
        <v>779</v>
      </c>
      <c r="M100" s="6" t="s">
        <v>781</v>
      </c>
      <c r="N100" s="6"/>
    </row>
    <row r="101" spans="1:14" x14ac:dyDescent="0.3">
      <c r="A101" s="7" t="s">
        <v>566</v>
      </c>
      <c r="B101" s="7"/>
      <c r="C101" s="7"/>
      <c r="D101" s="7"/>
      <c r="E101" s="7"/>
      <c r="F101" s="7" t="s">
        <v>779</v>
      </c>
      <c r="G101" s="7" t="s">
        <v>779</v>
      </c>
      <c r="H101" s="7"/>
      <c r="I101" s="7"/>
      <c r="J101" s="7"/>
      <c r="K101" s="7" t="s">
        <v>780</v>
      </c>
      <c r="L101" s="7" t="s">
        <v>779</v>
      </c>
      <c r="M101" s="7" t="s">
        <v>781</v>
      </c>
      <c r="N101" s="7"/>
    </row>
    <row r="102" spans="1:14" x14ac:dyDescent="0.3">
      <c r="A102" s="6" t="s">
        <v>572</v>
      </c>
      <c r="B102" s="6"/>
      <c r="C102" s="6"/>
      <c r="D102" s="6"/>
      <c r="E102" s="6"/>
      <c r="F102" s="6" t="s">
        <v>779</v>
      </c>
      <c r="G102" s="6" t="s">
        <v>779</v>
      </c>
      <c r="H102" s="6"/>
      <c r="I102" s="6"/>
      <c r="J102" s="6"/>
      <c r="K102" s="6" t="s">
        <v>780</v>
      </c>
      <c r="L102" s="6" t="s">
        <v>779</v>
      </c>
      <c r="M102" s="6" t="s">
        <v>781</v>
      </c>
      <c r="N102" s="6"/>
    </row>
    <row r="103" spans="1:14" x14ac:dyDescent="0.3">
      <c r="A103" s="7" t="s">
        <v>577</v>
      </c>
      <c r="B103" s="7"/>
      <c r="C103" s="7"/>
      <c r="D103" s="7"/>
      <c r="E103" s="7"/>
      <c r="F103" s="7" t="s">
        <v>779</v>
      </c>
      <c r="G103" s="7" t="s">
        <v>779</v>
      </c>
      <c r="H103" s="7"/>
      <c r="I103" s="7"/>
      <c r="J103" s="7"/>
      <c r="K103" s="7" t="s">
        <v>780</v>
      </c>
      <c r="L103" s="7" t="s">
        <v>779</v>
      </c>
      <c r="M103" s="7" t="s">
        <v>781</v>
      </c>
      <c r="N103" s="7"/>
    </row>
    <row r="104" spans="1:14" x14ac:dyDescent="0.3">
      <c r="A104" s="6" t="s">
        <v>582</v>
      </c>
      <c r="B104" s="6"/>
      <c r="C104" s="6"/>
      <c r="D104" s="6"/>
      <c r="E104" s="6"/>
      <c r="F104" s="6" t="s">
        <v>779</v>
      </c>
      <c r="G104" s="6" t="s">
        <v>779</v>
      </c>
      <c r="H104" s="6"/>
      <c r="I104" s="6"/>
      <c r="J104" s="6"/>
      <c r="K104" s="6" t="s">
        <v>780</v>
      </c>
      <c r="L104" s="6" t="s">
        <v>779</v>
      </c>
      <c r="M104" s="6" t="s">
        <v>781</v>
      </c>
      <c r="N104" s="6"/>
    </row>
    <row r="105" spans="1:14" x14ac:dyDescent="0.3">
      <c r="A105" s="7" t="s">
        <v>587</v>
      </c>
      <c r="B105" s="7"/>
      <c r="C105" s="7"/>
      <c r="D105" s="7"/>
      <c r="E105" s="7"/>
      <c r="F105" s="7" t="s">
        <v>779</v>
      </c>
      <c r="G105" s="7" t="s">
        <v>779</v>
      </c>
      <c r="H105" s="7"/>
      <c r="I105" s="7"/>
      <c r="J105" s="7"/>
      <c r="K105" s="7" t="s">
        <v>780</v>
      </c>
      <c r="L105" s="7" t="s">
        <v>779</v>
      </c>
      <c r="M105" s="7" t="s">
        <v>781</v>
      </c>
      <c r="N105" s="7"/>
    </row>
    <row r="106" spans="1:14" x14ac:dyDescent="0.3">
      <c r="A106" s="6" t="s">
        <v>592</v>
      </c>
      <c r="B106" s="6"/>
      <c r="C106" s="6"/>
      <c r="D106" s="6"/>
      <c r="E106" s="6"/>
      <c r="F106" s="6" t="s">
        <v>779</v>
      </c>
      <c r="G106" s="6" t="s">
        <v>779</v>
      </c>
      <c r="H106" s="6"/>
      <c r="I106" s="6"/>
      <c r="J106" s="6"/>
      <c r="K106" s="6" t="s">
        <v>780</v>
      </c>
      <c r="L106" s="6" t="s">
        <v>779</v>
      </c>
      <c r="M106" s="6" t="s">
        <v>781</v>
      </c>
      <c r="N106" s="6"/>
    </row>
    <row r="107" spans="1:14" x14ac:dyDescent="0.3">
      <c r="A107" s="7" t="s">
        <v>596</v>
      </c>
      <c r="B107" s="7"/>
      <c r="C107" s="7"/>
      <c r="D107" s="7"/>
      <c r="E107" s="7"/>
      <c r="F107" s="7" t="s">
        <v>779</v>
      </c>
      <c r="G107" s="7" t="s">
        <v>779</v>
      </c>
      <c r="H107" s="7"/>
      <c r="I107" s="7"/>
      <c r="J107" s="7"/>
      <c r="K107" s="7" t="s">
        <v>780</v>
      </c>
      <c r="L107" s="7" t="s">
        <v>779</v>
      </c>
      <c r="M107" s="7" t="s">
        <v>781</v>
      </c>
      <c r="N107" s="7"/>
    </row>
    <row r="108" spans="1:14" x14ac:dyDescent="0.3">
      <c r="A108" s="6" t="s">
        <v>601</v>
      </c>
      <c r="B108" s="6"/>
      <c r="C108" s="6"/>
      <c r="D108" s="6"/>
      <c r="E108" s="6"/>
      <c r="F108" s="6" t="s">
        <v>779</v>
      </c>
      <c r="G108" s="6" t="s">
        <v>779</v>
      </c>
      <c r="H108" s="6"/>
      <c r="I108" s="6"/>
      <c r="J108" s="6"/>
      <c r="K108" s="6" t="s">
        <v>780</v>
      </c>
      <c r="L108" s="6" t="s">
        <v>779</v>
      </c>
      <c r="M108" s="6" t="s">
        <v>781</v>
      </c>
      <c r="N108" s="6"/>
    </row>
    <row r="109" spans="1:14" x14ac:dyDescent="0.3">
      <c r="A109" s="7" t="s">
        <v>606</v>
      </c>
      <c r="B109" s="7"/>
      <c r="C109" s="7"/>
      <c r="D109" s="7"/>
      <c r="E109" s="7"/>
      <c r="F109" s="7" t="s">
        <v>779</v>
      </c>
      <c r="G109" s="7" t="s">
        <v>779</v>
      </c>
      <c r="H109" s="7"/>
      <c r="I109" s="7"/>
      <c r="J109" s="7"/>
      <c r="K109" s="7" t="s">
        <v>780</v>
      </c>
      <c r="L109" s="7" t="s">
        <v>779</v>
      </c>
      <c r="M109" s="7" t="s">
        <v>781</v>
      </c>
      <c r="N109" s="7"/>
    </row>
  </sheetData>
  <autoFilter ref="A1:N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I109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22" customWidth="1"/>
    <col min="2" max="2" width="14" customWidth="1"/>
    <col min="3" max="4" width="12" customWidth="1"/>
    <col min="5" max="6" width="16" customWidth="1"/>
    <col min="7" max="7" width="22" customWidth="1"/>
    <col min="8" max="8" width="18" customWidth="1"/>
    <col min="9" max="9" width="14" customWidth="1"/>
  </cols>
  <sheetData>
    <row r="1" spans="1:9" ht="30" customHeight="1" x14ac:dyDescent="0.3">
      <c r="A1" s="11" t="s">
        <v>23</v>
      </c>
      <c r="B1" s="11" t="s">
        <v>782</v>
      </c>
      <c r="C1" s="11" t="s">
        <v>783</v>
      </c>
      <c r="D1" s="11" t="s">
        <v>784</v>
      </c>
      <c r="E1" s="11" t="s">
        <v>785</v>
      </c>
      <c r="F1" s="11" t="s">
        <v>786</v>
      </c>
      <c r="G1" s="11" t="s">
        <v>787</v>
      </c>
      <c r="H1" s="11" t="s">
        <v>788</v>
      </c>
      <c r="I1" s="11" t="s">
        <v>789</v>
      </c>
    </row>
    <row r="2" spans="1:9" x14ac:dyDescent="0.3">
      <c r="A2" s="6" t="s">
        <v>39</v>
      </c>
      <c r="B2" s="12">
        <v>5</v>
      </c>
      <c r="C2" s="12">
        <v>5</v>
      </c>
      <c r="D2" s="13">
        <v>3</v>
      </c>
      <c r="E2" s="13">
        <v>3</v>
      </c>
      <c r="F2" s="12">
        <v>5</v>
      </c>
      <c r="G2" s="12">
        <v>5</v>
      </c>
      <c r="H2" s="12">
        <v>26</v>
      </c>
      <c r="I2" s="6">
        <v>1</v>
      </c>
    </row>
    <row r="3" spans="1:9" x14ac:dyDescent="0.3">
      <c r="A3" s="7" t="s">
        <v>52</v>
      </c>
      <c r="B3" s="14">
        <v>4</v>
      </c>
      <c r="C3" s="12">
        <v>5</v>
      </c>
      <c r="D3" s="13">
        <v>3</v>
      </c>
      <c r="E3" s="13">
        <v>3</v>
      </c>
      <c r="F3" s="12">
        <v>5</v>
      </c>
      <c r="G3" s="14">
        <v>4</v>
      </c>
      <c r="H3" s="12">
        <v>24</v>
      </c>
      <c r="I3" s="7">
        <v>2</v>
      </c>
    </row>
    <row r="4" spans="1:9" x14ac:dyDescent="0.3">
      <c r="A4" s="6" t="s">
        <v>60</v>
      </c>
      <c r="B4" s="12">
        <v>5</v>
      </c>
      <c r="C4" s="12">
        <v>5</v>
      </c>
      <c r="D4" s="13">
        <v>3</v>
      </c>
      <c r="E4" s="13">
        <v>3</v>
      </c>
      <c r="F4" s="12">
        <v>5</v>
      </c>
      <c r="G4" s="12">
        <v>5</v>
      </c>
      <c r="H4" s="12">
        <v>26</v>
      </c>
      <c r="I4" s="6">
        <v>1</v>
      </c>
    </row>
    <row r="5" spans="1:9" x14ac:dyDescent="0.3">
      <c r="A5" s="7" t="s">
        <v>66</v>
      </c>
      <c r="B5" s="14">
        <v>4</v>
      </c>
      <c r="C5" s="14">
        <v>4</v>
      </c>
      <c r="D5" s="14">
        <v>4</v>
      </c>
      <c r="E5" s="13">
        <v>3</v>
      </c>
      <c r="F5" s="14">
        <v>4</v>
      </c>
      <c r="G5" s="14">
        <v>4</v>
      </c>
      <c r="H5" s="12">
        <v>23</v>
      </c>
      <c r="I5" s="7">
        <v>3</v>
      </c>
    </row>
    <row r="6" spans="1:9" x14ac:dyDescent="0.3">
      <c r="A6" s="6" t="s">
        <v>73</v>
      </c>
      <c r="B6" s="13">
        <v>3</v>
      </c>
      <c r="C6" s="14">
        <v>4</v>
      </c>
      <c r="D6" s="13">
        <v>3</v>
      </c>
      <c r="E6" s="13">
        <v>3</v>
      </c>
      <c r="F6" s="14">
        <v>4</v>
      </c>
      <c r="G6" s="13">
        <v>3</v>
      </c>
      <c r="H6" s="12">
        <v>20</v>
      </c>
      <c r="I6" s="6">
        <v>5</v>
      </c>
    </row>
    <row r="7" spans="1:9" x14ac:dyDescent="0.3">
      <c r="A7" s="7" t="s">
        <v>80</v>
      </c>
      <c r="B7" s="13">
        <v>3</v>
      </c>
      <c r="C7" s="14">
        <v>4</v>
      </c>
      <c r="D7" s="13">
        <v>3</v>
      </c>
      <c r="E7" s="13">
        <v>3</v>
      </c>
      <c r="F7" s="14">
        <v>4</v>
      </c>
      <c r="G7" s="13">
        <v>3</v>
      </c>
      <c r="H7" s="12">
        <v>20</v>
      </c>
      <c r="I7" s="7">
        <v>5</v>
      </c>
    </row>
    <row r="8" spans="1:9" x14ac:dyDescent="0.3">
      <c r="A8" s="6" t="s">
        <v>88</v>
      </c>
      <c r="B8" s="13">
        <v>3</v>
      </c>
      <c r="C8" s="14">
        <v>4</v>
      </c>
      <c r="D8" s="13">
        <v>3</v>
      </c>
      <c r="E8" s="13">
        <v>3</v>
      </c>
      <c r="F8" s="14">
        <v>4</v>
      </c>
      <c r="G8" s="13">
        <v>3</v>
      </c>
      <c r="H8" s="12">
        <v>20</v>
      </c>
      <c r="I8" s="6">
        <v>5</v>
      </c>
    </row>
    <row r="9" spans="1:9" x14ac:dyDescent="0.3">
      <c r="A9" s="7" t="s">
        <v>94</v>
      </c>
      <c r="B9" s="13">
        <v>3</v>
      </c>
      <c r="C9" s="14">
        <v>4</v>
      </c>
      <c r="D9" s="13">
        <v>3</v>
      </c>
      <c r="E9" s="13">
        <v>3</v>
      </c>
      <c r="F9" s="14">
        <v>4</v>
      </c>
      <c r="G9" s="13">
        <v>3</v>
      </c>
      <c r="H9" s="12">
        <v>20</v>
      </c>
      <c r="I9" s="7">
        <v>5</v>
      </c>
    </row>
    <row r="10" spans="1:9" x14ac:dyDescent="0.3">
      <c r="A10" s="6" t="s">
        <v>101</v>
      </c>
      <c r="B10" s="14">
        <v>4</v>
      </c>
      <c r="C10" s="14">
        <v>4</v>
      </c>
      <c r="D10" s="14">
        <v>4</v>
      </c>
      <c r="E10" s="14">
        <v>4</v>
      </c>
      <c r="F10" s="14">
        <v>4</v>
      </c>
      <c r="G10" s="14">
        <v>4</v>
      </c>
      <c r="H10" s="12">
        <v>24</v>
      </c>
      <c r="I10" s="6">
        <v>2</v>
      </c>
    </row>
    <row r="11" spans="1:9" x14ac:dyDescent="0.3">
      <c r="A11" s="7" t="s">
        <v>107</v>
      </c>
      <c r="B11" s="13">
        <v>3</v>
      </c>
      <c r="C11" s="14">
        <v>4</v>
      </c>
      <c r="D11" s="13">
        <v>3</v>
      </c>
      <c r="E11" s="13">
        <v>3</v>
      </c>
      <c r="F11" s="14">
        <v>4</v>
      </c>
      <c r="G11" s="13">
        <v>3</v>
      </c>
      <c r="H11" s="12">
        <v>20</v>
      </c>
      <c r="I11" s="7">
        <v>5</v>
      </c>
    </row>
    <row r="12" spans="1:9" x14ac:dyDescent="0.3">
      <c r="A12" s="6" t="s">
        <v>112</v>
      </c>
      <c r="B12" s="13">
        <v>3</v>
      </c>
      <c r="C12" s="14">
        <v>4</v>
      </c>
      <c r="D12" s="13">
        <v>3</v>
      </c>
      <c r="E12" s="13">
        <v>3</v>
      </c>
      <c r="F12" s="14">
        <v>4</v>
      </c>
      <c r="G12" s="13">
        <v>3</v>
      </c>
      <c r="H12" s="12">
        <v>20</v>
      </c>
      <c r="I12" s="6">
        <v>5</v>
      </c>
    </row>
    <row r="13" spans="1:9" x14ac:dyDescent="0.3">
      <c r="A13" s="7" t="s">
        <v>118</v>
      </c>
      <c r="B13" s="13">
        <v>3</v>
      </c>
      <c r="C13" s="14">
        <v>4</v>
      </c>
      <c r="D13" s="13">
        <v>3</v>
      </c>
      <c r="E13" s="13">
        <v>3</v>
      </c>
      <c r="F13" s="14">
        <v>4</v>
      </c>
      <c r="G13" s="13">
        <v>3</v>
      </c>
      <c r="H13" s="12">
        <v>20</v>
      </c>
      <c r="I13" s="7">
        <v>5</v>
      </c>
    </row>
    <row r="14" spans="1:9" x14ac:dyDescent="0.3">
      <c r="A14" s="6" t="s">
        <v>123</v>
      </c>
      <c r="B14" s="13">
        <v>3</v>
      </c>
      <c r="C14" s="14">
        <v>4</v>
      </c>
      <c r="D14" s="14">
        <v>4</v>
      </c>
      <c r="E14" s="13">
        <v>3</v>
      </c>
      <c r="F14" s="14">
        <v>4</v>
      </c>
      <c r="G14" s="13">
        <v>3</v>
      </c>
      <c r="H14" s="12">
        <v>21</v>
      </c>
      <c r="I14" s="6">
        <v>4</v>
      </c>
    </row>
    <row r="15" spans="1:9" x14ac:dyDescent="0.3">
      <c r="A15" s="7" t="s">
        <v>128</v>
      </c>
      <c r="B15" s="13">
        <v>3</v>
      </c>
      <c r="C15" s="14">
        <v>4</v>
      </c>
      <c r="D15" s="13">
        <v>3</v>
      </c>
      <c r="E15" s="13">
        <v>3</v>
      </c>
      <c r="F15" s="14">
        <v>4</v>
      </c>
      <c r="G15" s="13">
        <v>3</v>
      </c>
      <c r="H15" s="12">
        <v>20</v>
      </c>
      <c r="I15" s="7">
        <v>5</v>
      </c>
    </row>
    <row r="16" spans="1:9" x14ac:dyDescent="0.3">
      <c r="A16" s="6" t="s">
        <v>134</v>
      </c>
      <c r="B16" s="13">
        <v>3</v>
      </c>
      <c r="C16" s="14">
        <v>4</v>
      </c>
      <c r="D16" s="13">
        <v>3</v>
      </c>
      <c r="E16" s="13">
        <v>3</v>
      </c>
      <c r="F16" s="14">
        <v>4</v>
      </c>
      <c r="G16" s="13">
        <v>3</v>
      </c>
      <c r="H16" s="12">
        <v>20</v>
      </c>
      <c r="I16" s="6">
        <v>5</v>
      </c>
    </row>
    <row r="17" spans="1:9" x14ac:dyDescent="0.3">
      <c r="A17" s="7" t="s">
        <v>139</v>
      </c>
      <c r="B17" s="13">
        <v>3</v>
      </c>
      <c r="C17" s="14">
        <v>4</v>
      </c>
      <c r="D17" s="13">
        <v>3</v>
      </c>
      <c r="E17" s="13">
        <v>3</v>
      </c>
      <c r="F17" s="14">
        <v>4</v>
      </c>
      <c r="G17" s="13">
        <v>3</v>
      </c>
      <c r="H17" s="12">
        <v>20</v>
      </c>
      <c r="I17" s="7">
        <v>5</v>
      </c>
    </row>
    <row r="18" spans="1:9" x14ac:dyDescent="0.3">
      <c r="A18" s="6" t="s">
        <v>144</v>
      </c>
      <c r="B18" s="14">
        <v>4</v>
      </c>
      <c r="C18" s="14">
        <v>4</v>
      </c>
      <c r="D18" s="12">
        <v>5</v>
      </c>
      <c r="E18" s="13">
        <v>3</v>
      </c>
      <c r="F18" s="14">
        <v>4</v>
      </c>
      <c r="G18" s="14">
        <v>4</v>
      </c>
      <c r="H18" s="12">
        <v>24</v>
      </c>
      <c r="I18" s="6">
        <v>2</v>
      </c>
    </row>
    <row r="19" spans="1:9" x14ac:dyDescent="0.3">
      <c r="A19" s="7" t="s">
        <v>148</v>
      </c>
      <c r="B19" s="13">
        <v>3</v>
      </c>
      <c r="C19" s="14">
        <v>4</v>
      </c>
      <c r="D19" s="13">
        <v>3</v>
      </c>
      <c r="E19" s="13">
        <v>3</v>
      </c>
      <c r="F19" s="14">
        <v>4</v>
      </c>
      <c r="G19" s="13">
        <v>3</v>
      </c>
      <c r="H19" s="12">
        <v>20</v>
      </c>
      <c r="I19" s="7">
        <v>5</v>
      </c>
    </row>
    <row r="20" spans="1:9" x14ac:dyDescent="0.3">
      <c r="A20" s="6" t="s">
        <v>152</v>
      </c>
      <c r="B20" s="13">
        <v>3</v>
      </c>
      <c r="C20" s="14">
        <v>4</v>
      </c>
      <c r="D20" s="13">
        <v>3</v>
      </c>
      <c r="E20" s="13">
        <v>3</v>
      </c>
      <c r="F20" s="14">
        <v>4</v>
      </c>
      <c r="G20" s="13">
        <v>3</v>
      </c>
      <c r="H20" s="12">
        <v>20</v>
      </c>
      <c r="I20" s="6">
        <v>5</v>
      </c>
    </row>
    <row r="21" spans="1:9" x14ac:dyDescent="0.3">
      <c r="A21" s="7" t="s">
        <v>157</v>
      </c>
      <c r="B21" s="12">
        <v>5</v>
      </c>
      <c r="C21" s="14">
        <v>4</v>
      </c>
      <c r="D21" s="14">
        <v>4</v>
      </c>
      <c r="E21" s="13">
        <v>3</v>
      </c>
      <c r="F21" s="14">
        <v>4</v>
      </c>
      <c r="G21" s="12">
        <v>5</v>
      </c>
      <c r="H21" s="12">
        <v>25</v>
      </c>
      <c r="I21" s="7">
        <v>2</v>
      </c>
    </row>
    <row r="22" spans="1:9" x14ac:dyDescent="0.3">
      <c r="A22" s="6" t="s">
        <v>163</v>
      </c>
      <c r="B22" s="13">
        <v>3</v>
      </c>
      <c r="C22" s="14">
        <v>4</v>
      </c>
      <c r="D22" s="13">
        <v>3</v>
      </c>
      <c r="E22" s="13">
        <v>3</v>
      </c>
      <c r="F22" s="14">
        <v>4</v>
      </c>
      <c r="G22" s="13">
        <v>3</v>
      </c>
      <c r="H22" s="12">
        <v>20</v>
      </c>
      <c r="I22" s="6">
        <v>5</v>
      </c>
    </row>
    <row r="23" spans="1:9" x14ac:dyDescent="0.3">
      <c r="A23" s="7" t="s">
        <v>169</v>
      </c>
      <c r="B23" s="13">
        <v>3</v>
      </c>
      <c r="C23" s="14">
        <v>4</v>
      </c>
      <c r="D23" s="13">
        <v>3</v>
      </c>
      <c r="E23" s="13">
        <v>3</v>
      </c>
      <c r="F23" s="14">
        <v>4</v>
      </c>
      <c r="G23" s="13">
        <v>3</v>
      </c>
      <c r="H23" s="12">
        <v>20</v>
      </c>
      <c r="I23" s="7">
        <v>5</v>
      </c>
    </row>
    <row r="24" spans="1:9" x14ac:dyDescent="0.3">
      <c r="A24" s="6" t="s">
        <v>174</v>
      </c>
      <c r="B24" s="13">
        <v>3</v>
      </c>
      <c r="C24" s="14">
        <v>4</v>
      </c>
      <c r="D24" s="13">
        <v>3</v>
      </c>
      <c r="E24" s="13">
        <v>3</v>
      </c>
      <c r="F24" s="14">
        <v>4</v>
      </c>
      <c r="G24" s="13">
        <v>3</v>
      </c>
      <c r="H24" s="12">
        <v>20</v>
      </c>
      <c r="I24" s="6">
        <v>5</v>
      </c>
    </row>
    <row r="25" spans="1:9" x14ac:dyDescent="0.3">
      <c r="A25" s="7" t="s">
        <v>179</v>
      </c>
      <c r="B25" s="13">
        <v>3</v>
      </c>
      <c r="C25" s="14">
        <v>4</v>
      </c>
      <c r="D25" s="13">
        <v>3</v>
      </c>
      <c r="E25" s="13">
        <v>3</v>
      </c>
      <c r="F25" s="14">
        <v>4</v>
      </c>
      <c r="G25" s="13">
        <v>3</v>
      </c>
      <c r="H25" s="12">
        <v>20</v>
      </c>
      <c r="I25" s="7">
        <v>5</v>
      </c>
    </row>
    <row r="26" spans="1:9" x14ac:dyDescent="0.3">
      <c r="A26" s="6" t="s">
        <v>183</v>
      </c>
      <c r="B26" s="13">
        <v>3</v>
      </c>
      <c r="C26" s="14">
        <v>4</v>
      </c>
      <c r="D26" s="13">
        <v>3</v>
      </c>
      <c r="E26" s="13">
        <v>3</v>
      </c>
      <c r="F26" s="14">
        <v>4</v>
      </c>
      <c r="G26" s="13">
        <v>3</v>
      </c>
      <c r="H26" s="12">
        <v>20</v>
      </c>
      <c r="I26" s="6">
        <v>5</v>
      </c>
    </row>
    <row r="27" spans="1:9" x14ac:dyDescent="0.3">
      <c r="A27" s="7" t="s">
        <v>188</v>
      </c>
      <c r="B27" s="13">
        <v>3</v>
      </c>
      <c r="C27" s="14">
        <v>4</v>
      </c>
      <c r="D27" s="13">
        <v>3</v>
      </c>
      <c r="E27" s="13">
        <v>3</v>
      </c>
      <c r="F27" s="14">
        <v>4</v>
      </c>
      <c r="G27" s="13">
        <v>3</v>
      </c>
      <c r="H27" s="12">
        <v>20</v>
      </c>
      <c r="I27" s="7">
        <v>5</v>
      </c>
    </row>
    <row r="28" spans="1:9" x14ac:dyDescent="0.3">
      <c r="A28" s="6" t="s">
        <v>193</v>
      </c>
      <c r="B28" s="13">
        <v>3</v>
      </c>
      <c r="C28" s="14">
        <v>4</v>
      </c>
      <c r="D28" s="13">
        <v>3</v>
      </c>
      <c r="E28" s="13">
        <v>3</v>
      </c>
      <c r="F28" s="14">
        <v>4</v>
      </c>
      <c r="G28" s="13">
        <v>3</v>
      </c>
      <c r="H28" s="12">
        <v>20</v>
      </c>
      <c r="I28" s="6">
        <v>5</v>
      </c>
    </row>
    <row r="29" spans="1:9" x14ac:dyDescent="0.3">
      <c r="A29" s="7" t="s">
        <v>198</v>
      </c>
      <c r="B29" s="13">
        <v>3</v>
      </c>
      <c r="C29" s="14">
        <v>4</v>
      </c>
      <c r="D29" s="13">
        <v>3</v>
      </c>
      <c r="E29" s="13">
        <v>3</v>
      </c>
      <c r="F29" s="14">
        <v>4</v>
      </c>
      <c r="G29" s="14">
        <v>4</v>
      </c>
      <c r="H29" s="12">
        <v>21</v>
      </c>
      <c r="I29" s="7">
        <v>4</v>
      </c>
    </row>
    <row r="30" spans="1:9" x14ac:dyDescent="0.3">
      <c r="A30" s="6" t="s">
        <v>204</v>
      </c>
      <c r="B30" s="12">
        <v>5</v>
      </c>
      <c r="C30" s="14">
        <v>4</v>
      </c>
      <c r="D30" s="14">
        <v>4</v>
      </c>
      <c r="E30" s="13">
        <v>3</v>
      </c>
      <c r="F30" s="12">
        <v>5</v>
      </c>
      <c r="G30" s="12">
        <v>5</v>
      </c>
      <c r="H30" s="12">
        <v>26</v>
      </c>
      <c r="I30" s="6">
        <v>1</v>
      </c>
    </row>
    <row r="31" spans="1:9" x14ac:dyDescent="0.3">
      <c r="A31" s="7" t="s">
        <v>209</v>
      </c>
      <c r="B31" s="13">
        <v>3</v>
      </c>
      <c r="C31" s="14">
        <v>4</v>
      </c>
      <c r="D31" s="13">
        <v>3</v>
      </c>
      <c r="E31" s="13">
        <v>3</v>
      </c>
      <c r="F31" s="14">
        <v>4</v>
      </c>
      <c r="G31" s="13">
        <v>3</v>
      </c>
      <c r="H31" s="12">
        <v>20</v>
      </c>
      <c r="I31" s="7">
        <v>5</v>
      </c>
    </row>
    <row r="32" spans="1:9" x14ac:dyDescent="0.3">
      <c r="A32" s="6" t="s">
        <v>214</v>
      </c>
      <c r="B32" s="14">
        <v>4</v>
      </c>
      <c r="C32" s="14">
        <v>4</v>
      </c>
      <c r="D32" s="14">
        <v>4</v>
      </c>
      <c r="E32" s="13">
        <v>3</v>
      </c>
      <c r="F32" s="14">
        <v>4</v>
      </c>
      <c r="G32" s="14">
        <v>4</v>
      </c>
      <c r="H32" s="12">
        <v>23</v>
      </c>
      <c r="I32" s="6">
        <v>3</v>
      </c>
    </row>
    <row r="33" spans="1:9" x14ac:dyDescent="0.3">
      <c r="A33" s="7" t="s">
        <v>218</v>
      </c>
      <c r="B33" s="13">
        <v>3</v>
      </c>
      <c r="C33" s="14">
        <v>4</v>
      </c>
      <c r="D33" s="13">
        <v>3</v>
      </c>
      <c r="E33" s="13">
        <v>3</v>
      </c>
      <c r="F33" s="14">
        <v>4</v>
      </c>
      <c r="G33" s="13">
        <v>3</v>
      </c>
      <c r="H33" s="12">
        <v>20</v>
      </c>
      <c r="I33" s="7">
        <v>5</v>
      </c>
    </row>
    <row r="34" spans="1:9" x14ac:dyDescent="0.3">
      <c r="A34" s="6" t="s">
        <v>223</v>
      </c>
      <c r="B34" s="13">
        <v>3</v>
      </c>
      <c r="C34" s="14">
        <v>4</v>
      </c>
      <c r="D34" s="13">
        <v>3</v>
      </c>
      <c r="E34" s="13">
        <v>3</v>
      </c>
      <c r="F34" s="14">
        <v>4</v>
      </c>
      <c r="G34" s="13">
        <v>3</v>
      </c>
      <c r="H34" s="12">
        <v>20</v>
      </c>
      <c r="I34" s="6">
        <v>5</v>
      </c>
    </row>
    <row r="35" spans="1:9" x14ac:dyDescent="0.3">
      <c r="A35" s="7" t="s">
        <v>228</v>
      </c>
      <c r="B35" s="13">
        <v>3</v>
      </c>
      <c r="C35" s="14">
        <v>4</v>
      </c>
      <c r="D35" s="13">
        <v>3</v>
      </c>
      <c r="E35" s="13">
        <v>3</v>
      </c>
      <c r="F35" s="14">
        <v>4</v>
      </c>
      <c r="G35" s="13">
        <v>3</v>
      </c>
      <c r="H35" s="12">
        <v>20</v>
      </c>
      <c r="I35" s="7">
        <v>5</v>
      </c>
    </row>
    <row r="36" spans="1:9" x14ac:dyDescent="0.3">
      <c r="A36" s="6" t="s">
        <v>234</v>
      </c>
      <c r="B36" s="13">
        <v>3</v>
      </c>
      <c r="C36" s="14">
        <v>4</v>
      </c>
      <c r="D36" s="13">
        <v>3</v>
      </c>
      <c r="E36" s="13">
        <v>3</v>
      </c>
      <c r="F36" s="14">
        <v>4</v>
      </c>
      <c r="G36" s="13">
        <v>3</v>
      </c>
      <c r="H36" s="12">
        <v>20</v>
      </c>
      <c r="I36" s="6">
        <v>5</v>
      </c>
    </row>
    <row r="37" spans="1:9" x14ac:dyDescent="0.3">
      <c r="A37" s="7" t="s">
        <v>240</v>
      </c>
      <c r="B37" s="12">
        <v>5</v>
      </c>
      <c r="C37" s="14">
        <v>4</v>
      </c>
      <c r="D37" s="12">
        <v>5</v>
      </c>
      <c r="E37" s="13">
        <v>3</v>
      </c>
      <c r="F37" s="14">
        <v>4</v>
      </c>
      <c r="G37" s="14">
        <v>4</v>
      </c>
      <c r="H37" s="12">
        <v>25</v>
      </c>
      <c r="I37" s="7">
        <v>2</v>
      </c>
    </row>
    <row r="38" spans="1:9" x14ac:dyDescent="0.3">
      <c r="A38" s="6" t="s">
        <v>247</v>
      </c>
      <c r="B38" s="13">
        <v>3</v>
      </c>
      <c r="C38" s="14">
        <v>4</v>
      </c>
      <c r="D38" s="13">
        <v>3</v>
      </c>
      <c r="E38" s="13">
        <v>3</v>
      </c>
      <c r="F38" s="14">
        <v>4</v>
      </c>
      <c r="G38" s="13">
        <v>3</v>
      </c>
      <c r="H38" s="12">
        <v>20</v>
      </c>
      <c r="I38" s="6">
        <v>5</v>
      </c>
    </row>
    <row r="39" spans="1:9" x14ac:dyDescent="0.3">
      <c r="A39" s="7" t="s">
        <v>252</v>
      </c>
      <c r="B39" s="13">
        <v>3</v>
      </c>
      <c r="C39" s="14">
        <v>4</v>
      </c>
      <c r="D39" s="13">
        <v>3</v>
      </c>
      <c r="E39" s="13">
        <v>3</v>
      </c>
      <c r="F39" s="14">
        <v>4</v>
      </c>
      <c r="G39" s="13">
        <v>3</v>
      </c>
      <c r="H39" s="12">
        <v>20</v>
      </c>
      <c r="I39" s="7">
        <v>5</v>
      </c>
    </row>
    <row r="40" spans="1:9" x14ac:dyDescent="0.3">
      <c r="A40" s="6" t="s">
        <v>256</v>
      </c>
      <c r="B40" s="13">
        <v>3</v>
      </c>
      <c r="C40" s="14">
        <v>4</v>
      </c>
      <c r="D40" s="13">
        <v>3</v>
      </c>
      <c r="E40" s="13">
        <v>3</v>
      </c>
      <c r="F40" s="14">
        <v>4</v>
      </c>
      <c r="G40" s="13">
        <v>3</v>
      </c>
      <c r="H40" s="12">
        <v>20</v>
      </c>
      <c r="I40" s="6">
        <v>5</v>
      </c>
    </row>
    <row r="41" spans="1:9" x14ac:dyDescent="0.3">
      <c r="A41" s="7" t="s">
        <v>261</v>
      </c>
      <c r="B41" s="14">
        <v>4</v>
      </c>
      <c r="C41" s="12">
        <v>5</v>
      </c>
      <c r="D41" s="13">
        <v>3</v>
      </c>
      <c r="E41" s="13">
        <v>3</v>
      </c>
      <c r="F41" s="12">
        <v>5</v>
      </c>
      <c r="G41" s="14">
        <v>4</v>
      </c>
      <c r="H41" s="12">
        <v>24</v>
      </c>
      <c r="I41" s="7">
        <v>2</v>
      </c>
    </row>
    <row r="42" spans="1:9" x14ac:dyDescent="0.3">
      <c r="A42" s="6" t="s">
        <v>266</v>
      </c>
      <c r="B42" s="13">
        <v>3</v>
      </c>
      <c r="C42" s="14">
        <v>4</v>
      </c>
      <c r="D42" s="13">
        <v>3</v>
      </c>
      <c r="E42" s="13">
        <v>3</v>
      </c>
      <c r="F42" s="14">
        <v>4</v>
      </c>
      <c r="G42" s="13">
        <v>3</v>
      </c>
      <c r="H42" s="12">
        <v>20</v>
      </c>
      <c r="I42" s="6">
        <v>5</v>
      </c>
    </row>
    <row r="43" spans="1:9" x14ac:dyDescent="0.3">
      <c r="A43" s="7" t="s">
        <v>270</v>
      </c>
      <c r="B43" s="14">
        <v>4</v>
      </c>
      <c r="C43" s="12">
        <v>5</v>
      </c>
      <c r="D43" s="13">
        <v>3</v>
      </c>
      <c r="E43" s="14">
        <v>4</v>
      </c>
      <c r="F43" s="12">
        <v>5</v>
      </c>
      <c r="G43" s="14">
        <v>4</v>
      </c>
      <c r="H43" s="12">
        <v>25</v>
      </c>
      <c r="I43" s="7">
        <v>2</v>
      </c>
    </row>
    <row r="44" spans="1:9" x14ac:dyDescent="0.3">
      <c r="A44" s="6" t="s">
        <v>275</v>
      </c>
      <c r="B44" s="13">
        <v>3</v>
      </c>
      <c r="C44" s="14">
        <v>4</v>
      </c>
      <c r="D44" s="13">
        <v>3</v>
      </c>
      <c r="E44" s="13">
        <v>3</v>
      </c>
      <c r="F44" s="14">
        <v>4</v>
      </c>
      <c r="G44" s="13">
        <v>3</v>
      </c>
      <c r="H44" s="12">
        <v>20</v>
      </c>
      <c r="I44" s="6">
        <v>5</v>
      </c>
    </row>
    <row r="45" spans="1:9" x14ac:dyDescent="0.3">
      <c r="A45" s="7" t="s">
        <v>279</v>
      </c>
      <c r="B45" s="13">
        <v>3</v>
      </c>
      <c r="C45" s="14">
        <v>4</v>
      </c>
      <c r="D45" s="13">
        <v>3</v>
      </c>
      <c r="E45" s="13">
        <v>3</v>
      </c>
      <c r="F45" s="14">
        <v>4</v>
      </c>
      <c r="G45" s="13">
        <v>3</v>
      </c>
      <c r="H45" s="12">
        <v>20</v>
      </c>
      <c r="I45" s="7">
        <v>5</v>
      </c>
    </row>
    <row r="46" spans="1:9" x14ac:dyDescent="0.3">
      <c r="A46" s="6" t="s">
        <v>283</v>
      </c>
      <c r="B46" s="13">
        <v>3</v>
      </c>
      <c r="C46" s="14">
        <v>4</v>
      </c>
      <c r="D46" s="13">
        <v>3</v>
      </c>
      <c r="E46" s="13">
        <v>3</v>
      </c>
      <c r="F46" s="14">
        <v>4</v>
      </c>
      <c r="G46" s="13">
        <v>3</v>
      </c>
      <c r="H46" s="12">
        <v>20</v>
      </c>
      <c r="I46" s="6">
        <v>5</v>
      </c>
    </row>
    <row r="47" spans="1:9" x14ac:dyDescent="0.3">
      <c r="A47" s="7" t="s">
        <v>287</v>
      </c>
      <c r="B47" s="13">
        <v>3</v>
      </c>
      <c r="C47" s="14">
        <v>4</v>
      </c>
      <c r="D47" s="13">
        <v>3</v>
      </c>
      <c r="E47" s="13">
        <v>3</v>
      </c>
      <c r="F47" s="14">
        <v>4</v>
      </c>
      <c r="G47" s="13">
        <v>3</v>
      </c>
      <c r="H47" s="12">
        <v>20</v>
      </c>
      <c r="I47" s="7">
        <v>5</v>
      </c>
    </row>
    <row r="48" spans="1:9" x14ac:dyDescent="0.3">
      <c r="A48" s="6" t="s">
        <v>292</v>
      </c>
      <c r="B48" s="13">
        <v>3</v>
      </c>
      <c r="C48" s="14">
        <v>4</v>
      </c>
      <c r="D48" s="13">
        <v>3</v>
      </c>
      <c r="E48" s="13">
        <v>3</v>
      </c>
      <c r="F48" s="14">
        <v>4</v>
      </c>
      <c r="G48" s="13">
        <v>3</v>
      </c>
      <c r="H48" s="12">
        <v>20</v>
      </c>
      <c r="I48" s="6">
        <v>5</v>
      </c>
    </row>
    <row r="49" spans="1:9" x14ac:dyDescent="0.3">
      <c r="A49" s="7" t="s">
        <v>296</v>
      </c>
      <c r="B49" s="13">
        <v>3</v>
      </c>
      <c r="C49" s="14">
        <v>4</v>
      </c>
      <c r="D49" s="13">
        <v>3</v>
      </c>
      <c r="E49" s="13">
        <v>3</v>
      </c>
      <c r="F49" s="14">
        <v>4</v>
      </c>
      <c r="G49" s="13">
        <v>3</v>
      </c>
      <c r="H49" s="12">
        <v>20</v>
      </c>
      <c r="I49" s="7">
        <v>5</v>
      </c>
    </row>
    <row r="50" spans="1:9" x14ac:dyDescent="0.3">
      <c r="A50" s="6" t="s">
        <v>300</v>
      </c>
      <c r="B50" s="13">
        <v>3</v>
      </c>
      <c r="C50" s="14">
        <v>4</v>
      </c>
      <c r="D50" s="13">
        <v>3</v>
      </c>
      <c r="E50" s="13">
        <v>3</v>
      </c>
      <c r="F50" s="14">
        <v>4</v>
      </c>
      <c r="G50" s="13">
        <v>3</v>
      </c>
      <c r="H50" s="12">
        <v>20</v>
      </c>
      <c r="I50" s="6">
        <v>5</v>
      </c>
    </row>
    <row r="51" spans="1:9" x14ac:dyDescent="0.3">
      <c r="A51" s="7" t="s">
        <v>305</v>
      </c>
      <c r="B51" s="13">
        <v>3</v>
      </c>
      <c r="C51" s="14">
        <v>4</v>
      </c>
      <c r="D51" s="13">
        <v>3</v>
      </c>
      <c r="E51" s="13">
        <v>3</v>
      </c>
      <c r="F51" s="14">
        <v>4</v>
      </c>
      <c r="G51" s="13">
        <v>3</v>
      </c>
      <c r="H51" s="12">
        <v>20</v>
      </c>
      <c r="I51" s="7">
        <v>5</v>
      </c>
    </row>
    <row r="52" spans="1:9" x14ac:dyDescent="0.3">
      <c r="A52" s="6" t="s">
        <v>309</v>
      </c>
      <c r="B52" s="12">
        <v>5</v>
      </c>
      <c r="C52" s="12">
        <v>5</v>
      </c>
      <c r="D52" s="14">
        <v>4</v>
      </c>
      <c r="E52" s="12">
        <v>5</v>
      </c>
      <c r="F52" s="12">
        <v>5</v>
      </c>
      <c r="G52" s="12">
        <v>5</v>
      </c>
      <c r="H52" s="12">
        <v>29</v>
      </c>
      <c r="I52" s="6">
        <v>1</v>
      </c>
    </row>
    <row r="53" spans="1:9" x14ac:dyDescent="0.3">
      <c r="A53" s="7" t="s">
        <v>317</v>
      </c>
      <c r="B53" s="13">
        <v>3</v>
      </c>
      <c r="C53" s="12">
        <v>5</v>
      </c>
      <c r="D53" s="13">
        <v>3</v>
      </c>
      <c r="E53" s="13">
        <v>3</v>
      </c>
      <c r="F53" s="12">
        <v>5</v>
      </c>
      <c r="G53" s="12">
        <v>5</v>
      </c>
      <c r="H53" s="12">
        <v>24</v>
      </c>
      <c r="I53" s="7">
        <v>2</v>
      </c>
    </row>
    <row r="54" spans="1:9" x14ac:dyDescent="0.3">
      <c r="A54" s="6" t="s">
        <v>323</v>
      </c>
      <c r="B54" s="13">
        <v>3</v>
      </c>
      <c r="C54" s="14">
        <v>4</v>
      </c>
      <c r="D54" s="13">
        <v>3</v>
      </c>
      <c r="E54" s="13">
        <v>3</v>
      </c>
      <c r="F54" s="14">
        <v>4</v>
      </c>
      <c r="G54" s="13">
        <v>3</v>
      </c>
      <c r="H54" s="12">
        <v>20</v>
      </c>
      <c r="I54" s="6">
        <v>5</v>
      </c>
    </row>
    <row r="55" spans="1:9" x14ac:dyDescent="0.3">
      <c r="A55" s="7" t="s">
        <v>328</v>
      </c>
      <c r="B55" s="14">
        <v>4</v>
      </c>
      <c r="C55" s="12">
        <v>5</v>
      </c>
      <c r="D55" s="13">
        <v>3</v>
      </c>
      <c r="E55" s="13">
        <v>3</v>
      </c>
      <c r="F55" s="12">
        <v>5</v>
      </c>
      <c r="G55" s="14">
        <v>4</v>
      </c>
      <c r="H55" s="12">
        <v>24</v>
      </c>
      <c r="I55" s="7">
        <v>2</v>
      </c>
    </row>
    <row r="56" spans="1:9" x14ac:dyDescent="0.3">
      <c r="A56" s="6" t="s">
        <v>333</v>
      </c>
      <c r="B56" s="13">
        <v>3</v>
      </c>
      <c r="C56" s="14">
        <v>4</v>
      </c>
      <c r="D56" s="13">
        <v>3</v>
      </c>
      <c r="E56" s="13">
        <v>3</v>
      </c>
      <c r="F56" s="14">
        <v>4</v>
      </c>
      <c r="G56" s="13">
        <v>3</v>
      </c>
      <c r="H56" s="12">
        <v>20</v>
      </c>
      <c r="I56" s="6">
        <v>5</v>
      </c>
    </row>
    <row r="57" spans="1:9" x14ac:dyDescent="0.3">
      <c r="A57" s="7" t="s">
        <v>340</v>
      </c>
      <c r="B57" s="14">
        <v>4</v>
      </c>
      <c r="C57" s="12">
        <v>5</v>
      </c>
      <c r="D57" s="13">
        <v>3</v>
      </c>
      <c r="E57" s="13">
        <v>3</v>
      </c>
      <c r="F57" s="12">
        <v>5</v>
      </c>
      <c r="G57" s="14">
        <v>4</v>
      </c>
      <c r="H57" s="12">
        <v>24</v>
      </c>
      <c r="I57" s="7">
        <v>2</v>
      </c>
    </row>
    <row r="58" spans="1:9" x14ac:dyDescent="0.3">
      <c r="A58" s="6" t="s">
        <v>344</v>
      </c>
      <c r="B58" s="14">
        <v>4</v>
      </c>
      <c r="C58" s="12">
        <v>5</v>
      </c>
      <c r="D58" s="13">
        <v>3</v>
      </c>
      <c r="E58" s="13">
        <v>3</v>
      </c>
      <c r="F58" s="12">
        <v>5</v>
      </c>
      <c r="G58" s="14">
        <v>4</v>
      </c>
      <c r="H58" s="12">
        <v>24</v>
      </c>
      <c r="I58" s="6">
        <v>2</v>
      </c>
    </row>
    <row r="59" spans="1:9" x14ac:dyDescent="0.3">
      <c r="A59" s="7" t="s">
        <v>349</v>
      </c>
      <c r="B59" s="13">
        <v>3</v>
      </c>
      <c r="C59" s="14">
        <v>4</v>
      </c>
      <c r="D59" s="13">
        <v>3</v>
      </c>
      <c r="E59" s="13">
        <v>3</v>
      </c>
      <c r="F59" s="14">
        <v>4</v>
      </c>
      <c r="G59" s="13">
        <v>3</v>
      </c>
      <c r="H59" s="12">
        <v>20</v>
      </c>
      <c r="I59" s="7">
        <v>5</v>
      </c>
    </row>
    <row r="60" spans="1:9" x14ac:dyDescent="0.3">
      <c r="A60" s="6" t="s">
        <v>356</v>
      </c>
      <c r="B60" s="13">
        <v>3</v>
      </c>
      <c r="C60" s="14">
        <v>4</v>
      </c>
      <c r="D60" s="13">
        <v>3</v>
      </c>
      <c r="E60" s="13">
        <v>3</v>
      </c>
      <c r="F60" s="14">
        <v>4</v>
      </c>
      <c r="G60" s="13">
        <v>3</v>
      </c>
      <c r="H60" s="12">
        <v>20</v>
      </c>
      <c r="I60" s="6">
        <v>5</v>
      </c>
    </row>
    <row r="61" spans="1:9" x14ac:dyDescent="0.3">
      <c r="A61" s="7" t="s">
        <v>361</v>
      </c>
      <c r="B61" s="13">
        <v>3</v>
      </c>
      <c r="C61" s="14">
        <v>4</v>
      </c>
      <c r="D61" s="13">
        <v>3</v>
      </c>
      <c r="E61" s="13">
        <v>3</v>
      </c>
      <c r="F61" s="14">
        <v>4</v>
      </c>
      <c r="G61" s="13">
        <v>3</v>
      </c>
      <c r="H61" s="12">
        <v>20</v>
      </c>
      <c r="I61" s="7">
        <v>5</v>
      </c>
    </row>
    <row r="62" spans="1:9" x14ac:dyDescent="0.3">
      <c r="A62" s="6" t="s">
        <v>366</v>
      </c>
      <c r="B62" s="13">
        <v>3</v>
      </c>
      <c r="C62" s="14">
        <v>4</v>
      </c>
      <c r="D62" s="13">
        <v>3</v>
      </c>
      <c r="E62" s="13">
        <v>3</v>
      </c>
      <c r="F62" s="14">
        <v>4</v>
      </c>
      <c r="G62" s="13">
        <v>3</v>
      </c>
      <c r="H62" s="12">
        <v>20</v>
      </c>
      <c r="I62" s="6">
        <v>5</v>
      </c>
    </row>
    <row r="63" spans="1:9" x14ac:dyDescent="0.3">
      <c r="A63" s="7" t="s">
        <v>370</v>
      </c>
      <c r="B63" s="13">
        <v>3</v>
      </c>
      <c r="C63" s="14">
        <v>4</v>
      </c>
      <c r="D63" s="13">
        <v>3</v>
      </c>
      <c r="E63" s="13">
        <v>3</v>
      </c>
      <c r="F63" s="14">
        <v>4</v>
      </c>
      <c r="G63" s="13">
        <v>3</v>
      </c>
      <c r="H63" s="12">
        <v>20</v>
      </c>
      <c r="I63" s="7">
        <v>5</v>
      </c>
    </row>
    <row r="64" spans="1:9" x14ac:dyDescent="0.3">
      <c r="A64" s="6" t="s">
        <v>375</v>
      </c>
      <c r="B64" s="13">
        <v>3</v>
      </c>
      <c r="C64" s="14">
        <v>4</v>
      </c>
      <c r="D64" s="13">
        <v>3</v>
      </c>
      <c r="E64" s="13">
        <v>3</v>
      </c>
      <c r="F64" s="14">
        <v>4</v>
      </c>
      <c r="G64" s="13">
        <v>3</v>
      </c>
      <c r="H64" s="12">
        <v>20</v>
      </c>
      <c r="I64" s="6">
        <v>5</v>
      </c>
    </row>
    <row r="65" spans="1:9" x14ac:dyDescent="0.3">
      <c r="A65" s="7" t="s">
        <v>381</v>
      </c>
      <c r="B65" s="13">
        <v>3</v>
      </c>
      <c r="C65" s="14">
        <v>4</v>
      </c>
      <c r="D65" s="13">
        <v>3</v>
      </c>
      <c r="E65" s="13">
        <v>3</v>
      </c>
      <c r="F65" s="14">
        <v>4</v>
      </c>
      <c r="G65" s="13">
        <v>3</v>
      </c>
      <c r="H65" s="12">
        <v>20</v>
      </c>
      <c r="I65" s="7">
        <v>5</v>
      </c>
    </row>
    <row r="66" spans="1:9" x14ac:dyDescent="0.3">
      <c r="A66" s="6" t="s">
        <v>388</v>
      </c>
      <c r="B66" s="13">
        <v>3</v>
      </c>
      <c r="C66" s="14">
        <v>4</v>
      </c>
      <c r="D66" s="12">
        <v>5</v>
      </c>
      <c r="E66" s="13">
        <v>3</v>
      </c>
      <c r="F66" s="14">
        <v>4</v>
      </c>
      <c r="G66" s="13">
        <v>3</v>
      </c>
      <c r="H66" s="12">
        <v>22</v>
      </c>
      <c r="I66" s="6">
        <v>4</v>
      </c>
    </row>
    <row r="67" spans="1:9" x14ac:dyDescent="0.3">
      <c r="A67" s="7" t="s">
        <v>393</v>
      </c>
      <c r="B67" s="13">
        <v>3</v>
      </c>
      <c r="C67" s="14">
        <v>4</v>
      </c>
      <c r="D67" s="13">
        <v>3</v>
      </c>
      <c r="E67" s="13">
        <v>3</v>
      </c>
      <c r="F67" s="14">
        <v>4</v>
      </c>
      <c r="G67" s="13">
        <v>3</v>
      </c>
      <c r="H67" s="12">
        <v>20</v>
      </c>
      <c r="I67" s="7">
        <v>5</v>
      </c>
    </row>
    <row r="68" spans="1:9" x14ac:dyDescent="0.3">
      <c r="A68" s="6" t="s">
        <v>398</v>
      </c>
      <c r="B68" s="13">
        <v>3</v>
      </c>
      <c r="C68" s="14">
        <v>4</v>
      </c>
      <c r="D68" s="13">
        <v>3</v>
      </c>
      <c r="E68" s="13">
        <v>3</v>
      </c>
      <c r="F68" s="14">
        <v>4</v>
      </c>
      <c r="G68" s="13">
        <v>3</v>
      </c>
      <c r="H68" s="12">
        <v>20</v>
      </c>
      <c r="I68" s="6">
        <v>5</v>
      </c>
    </row>
    <row r="69" spans="1:9" x14ac:dyDescent="0.3">
      <c r="A69" s="7" t="s">
        <v>403</v>
      </c>
      <c r="B69" s="13">
        <v>3</v>
      </c>
      <c r="C69" s="14">
        <v>4</v>
      </c>
      <c r="D69" s="13">
        <v>3</v>
      </c>
      <c r="E69" s="13">
        <v>3</v>
      </c>
      <c r="F69" s="14">
        <v>4</v>
      </c>
      <c r="G69" s="13">
        <v>3</v>
      </c>
      <c r="H69" s="12">
        <v>20</v>
      </c>
      <c r="I69" s="7">
        <v>5</v>
      </c>
    </row>
    <row r="70" spans="1:9" x14ac:dyDescent="0.3">
      <c r="A70" s="6" t="s">
        <v>407</v>
      </c>
      <c r="B70" s="13">
        <v>3</v>
      </c>
      <c r="C70" s="14">
        <v>4</v>
      </c>
      <c r="D70" s="13">
        <v>3</v>
      </c>
      <c r="E70" s="13">
        <v>3</v>
      </c>
      <c r="F70" s="14">
        <v>4</v>
      </c>
      <c r="G70" s="13">
        <v>3</v>
      </c>
      <c r="H70" s="12">
        <v>20</v>
      </c>
      <c r="I70" s="6">
        <v>5</v>
      </c>
    </row>
    <row r="71" spans="1:9" x14ac:dyDescent="0.3">
      <c r="A71" s="7" t="s">
        <v>412</v>
      </c>
      <c r="B71" s="13">
        <v>3</v>
      </c>
      <c r="C71" s="14">
        <v>4</v>
      </c>
      <c r="D71" s="13">
        <v>3</v>
      </c>
      <c r="E71" s="13">
        <v>3</v>
      </c>
      <c r="F71" s="14">
        <v>4</v>
      </c>
      <c r="G71" s="13">
        <v>3</v>
      </c>
      <c r="H71" s="12">
        <v>20</v>
      </c>
      <c r="I71" s="7">
        <v>5</v>
      </c>
    </row>
    <row r="72" spans="1:9" x14ac:dyDescent="0.3">
      <c r="A72" s="6" t="s">
        <v>417</v>
      </c>
      <c r="B72" s="13">
        <v>3</v>
      </c>
      <c r="C72" s="14">
        <v>4</v>
      </c>
      <c r="D72" s="13">
        <v>3</v>
      </c>
      <c r="E72" s="13">
        <v>3</v>
      </c>
      <c r="F72" s="14">
        <v>4</v>
      </c>
      <c r="G72" s="13">
        <v>3</v>
      </c>
      <c r="H72" s="12">
        <v>20</v>
      </c>
      <c r="I72" s="6">
        <v>5</v>
      </c>
    </row>
    <row r="73" spans="1:9" x14ac:dyDescent="0.3">
      <c r="A73" s="7" t="s">
        <v>421</v>
      </c>
      <c r="B73" s="13">
        <v>3</v>
      </c>
      <c r="C73" s="14">
        <v>4</v>
      </c>
      <c r="D73" s="13">
        <v>3</v>
      </c>
      <c r="E73" s="13">
        <v>3</v>
      </c>
      <c r="F73" s="14">
        <v>4</v>
      </c>
      <c r="G73" s="13">
        <v>3</v>
      </c>
      <c r="H73" s="12">
        <v>20</v>
      </c>
      <c r="I73" s="7">
        <v>5</v>
      </c>
    </row>
    <row r="74" spans="1:9" x14ac:dyDescent="0.3">
      <c r="A74" s="6" t="s">
        <v>426</v>
      </c>
      <c r="B74" s="13">
        <v>3</v>
      </c>
      <c r="C74" s="14">
        <v>4</v>
      </c>
      <c r="D74" s="12">
        <v>5</v>
      </c>
      <c r="E74" s="13">
        <v>3</v>
      </c>
      <c r="F74" s="14">
        <v>4</v>
      </c>
      <c r="G74" s="13">
        <v>3</v>
      </c>
      <c r="H74" s="12">
        <v>22</v>
      </c>
      <c r="I74" s="6">
        <v>4</v>
      </c>
    </row>
    <row r="75" spans="1:9" x14ac:dyDescent="0.3">
      <c r="A75" s="7" t="s">
        <v>431</v>
      </c>
      <c r="B75" s="13">
        <v>3</v>
      </c>
      <c r="C75" s="14">
        <v>4</v>
      </c>
      <c r="D75" s="13">
        <v>3</v>
      </c>
      <c r="E75" s="13">
        <v>3</v>
      </c>
      <c r="F75" s="14">
        <v>4</v>
      </c>
      <c r="G75" s="13">
        <v>3</v>
      </c>
      <c r="H75" s="12">
        <v>20</v>
      </c>
      <c r="I75" s="7">
        <v>5</v>
      </c>
    </row>
    <row r="76" spans="1:9" x14ac:dyDescent="0.3">
      <c r="A76" s="6" t="s">
        <v>437</v>
      </c>
      <c r="B76" s="13">
        <v>3</v>
      </c>
      <c r="C76" s="14">
        <v>4</v>
      </c>
      <c r="D76" s="13">
        <v>3</v>
      </c>
      <c r="E76" s="13">
        <v>3</v>
      </c>
      <c r="F76" s="14">
        <v>4</v>
      </c>
      <c r="G76" s="13">
        <v>3</v>
      </c>
      <c r="H76" s="12">
        <v>20</v>
      </c>
      <c r="I76" s="6">
        <v>5</v>
      </c>
    </row>
    <row r="77" spans="1:9" x14ac:dyDescent="0.3">
      <c r="A77" s="7" t="s">
        <v>443</v>
      </c>
      <c r="B77" s="13">
        <v>3</v>
      </c>
      <c r="C77" s="14">
        <v>4</v>
      </c>
      <c r="D77" s="13">
        <v>3</v>
      </c>
      <c r="E77" s="13">
        <v>3</v>
      </c>
      <c r="F77" s="14">
        <v>4</v>
      </c>
      <c r="G77" s="13">
        <v>3</v>
      </c>
      <c r="H77" s="12">
        <v>20</v>
      </c>
      <c r="I77" s="7">
        <v>5</v>
      </c>
    </row>
    <row r="78" spans="1:9" x14ac:dyDescent="0.3">
      <c r="A78" s="6" t="s">
        <v>447</v>
      </c>
      <c r="B78" s="14">
        <v>4</v>
      </c>
      <c r="C78" s="12">
        <v>5</v>
      </c>
      <c r="D78" s="13">
        <v>3</v>
      </c>
      <c r="E78" s="12">
        <v>5</v>
      </c>
      <c r="F78" s="12">
        <v>5</v>
      </c>
      <c r="G78" s="14">
        <v>4</v>
      </c>
      <c r="H78" s="12">
        <v>26</v>
      </c>
      <c r="I78" s="6">
        <v>1</v>
      </c>
    </row>
    <row r="79" spans="1:9" x14ac:dyDescent="0.3">
      <c r="A79" s="7" t="s">
        <v>452</v>
      </c>
      <c r="B79" s="13">
        <v>3</v>
      </c>
      <c r="C79" s="12">
        <v>5</v>
      </c>
      <c r="D79" s="13">
        <v>3</v>
      </c>
      <c r="E79" s="14">
        <v>4</v>
      </c>
      <c r="F79" s="12">
        <v>5</v>
      </c>
      <c r="G79" s="14">
        <v>4</v>
      </c>
      <c r="H79" s="12">
        <v>24</v>
      </c>
      <c r="I79" s="7">
        <v>2</v>
      </c>
    </row>
    <row r="80" spans="1:9" x14ac:dyDescent="0.3">
      <c r="A80" s="6" t="s">
        <v>456</v>
      </c>
      <c r="B80" s="12">
        <v>5</v>
      </c>
      <c r="C80" s="12">
        <v>5</v>
      </c>
      <c r="D80" s="13">
        <v>3</v>
      </c>
      <c r="E80" s="14">
        <v>4</v>
      </c>
      <c r="F80" s="12">
        <v>5</v>
      </c>
      <c r="G80" s="12">
        <v>5</v>
      </c>
      <c r="H80" s="12">
        <v>27</v>
      </c>
      <c r="I80" s="6">
        <v>1</v>
      </c>
    </row>
    <row r="81" spans="1:9" x14ac:dyDescent="0.3">
      <c r="A81" s="7" t="s">
        <v>463</v>
      </c>
      <c r="B81" s="13">
        <v>3</v>
      </c>
      <c r="C81" s="12">
        <v>5</v>
      </c>
      <c r="D81" s="13">
        <v>3</v>
      </c>
      <c r="E81" s="12">
        <v>5</v>
      </c>
      <c r="F81" s="14">
        <v>4</v>
      </c>
      <c r="G81" s="13">
        <v>3</v>
      </c>
      <c r="H81" s="12">
        <v>23</v>
      </c>
      <c r="I81" s="7">
        <v>3</v>
      </c>
    </row>
    <row r="82" spans="1:9" x14ac:dyDescent="0.3">
      <c r="A82" s="6" t="s">
        <v>468</v>
      </c>
      <c r="B82" s="13">
        <v>3</v>
      </c>
      <c r="C82" s="14">
        <v>4</v>
      </c>
      <c r="D82" s="13">
        <v>3</v>
      </c>
      <c r="E82" s="13">
        <v>3</v>
      </c>
      <c r="F82" s="14">
        <v>4</v>
      </c>
      <c r="G82" s="13">
        <v>3</v>
      </c>
      <c r="H82" s="12">
        <v>20</v>
      </c>
      <c r="I82" s="6">
        <v>5</v>
      </c>
    </row>
    <row r="83" spans="1:9" x14ac:dyDescent="0.3">
      <c r="A83" s="7" t="s">
        <v>472</v>
      </c>
      <c r="B83" s="13">
        <v>3</v>
      </c>
      <c r="C83" s="12">
        <v>5</v>
      </c>
      <c r="D83" s="13">
        <v>3</v>
      </c>
      <c r="E83" s="13">
        <v>3</v>
      </c>
      <c r="F83" s="12">
        <v>5</v>
      </c>
      <c r="G83" s="12">
        <v>5</v>
      </c>
      <c r="H83" s="12">
        <v>24</v>
      </c>
      <c r="I83" s="7">
        <v>2</v>
      </c>
    </row>
    <row r="84" spans="1:9" x14ac:dyDescent="0.3">
      <c r="A84" s="6" t="s">
        <v>476</v>
      </c>
      <c r="B84" s="13">
        <v>3</v>
      </c>
      <c r="C84" s="14">
        <v>4</v>
      </c>
      <c r="D84" s="13">
        <v>3</v>
      </c>
      <c r="E84" s="13">
        <v>3</v>
      </c>
      <c r="F84" s="14">
        <v>4</v>
      </c>
      <c r="G84" s="13">
        <v>3</v>
      </c>
      <c r="H84" s="12">
        <v>20</v>
      </c>
      <c r="I84" s="6">
        <v>5</v>
      </c>
    </row>
    <row r="85" spans="1:9" x14ac:dyDescent="0.3">
      <c r="A85" s="7" t="s">
        <v>482</v>
      </c>
      <c r="B85" s="13">
        <v>3</v>
      </c>
      <c r="C85" s="14">
        <v>4</v>
      </c>
      <c r="D85" s="13">
        <v>3</v>
      </c>
      <c r="E85" s="13">
        <v>3</v>
      </c>
      <c r="F85" s="14">
        <v>4</v>
      </c>
      <c r="G85" s="13">
        <v>3</v>
      </c>
      <c r="H85" s="12">
        <v>20</v>
      </c>
      <c r="I85" s="7">
        <v>5</v>
      </c>
    </row>
    <row r="86" spans="1:9" x14ac:dyDescent="0.3">
      <c r="A86" s="6" t="s">
        <v>486</v>
      </c>
      <c r="B86" s="12">
        <v>5</v>
      </c>
      <c r="C86" s="14">
        <v>4</v>
      </c>
      <c r="D86" s="14">
        <v>4</v>
      </c>
      <c r="E86" s="13">
        <v>3</v>
      </c>
      <c r="F86" s="14">
        <v>4</v>
      </c>
      <c r="G86" s="12">
        <v>5</v>
      </c>
      <c r="H86" s="12">
        <v>25</v>
      </c>
      <c r="I86" s="6">
        <v>2</v>
      </c>
    </row>
    <row r="87" spans="1:9" x14ac:dyDescent="0.3">
      <c r="A87" s="7" t="s">
        <v>492</v>
      </c>
      <c r="B87" s="13">
        <v>3</v>
      </c>
      <c r="C87" s="14">
        <v>4</v>
      </c>
      <c r="D87" s="13">
        <v>3</v>
      </c>
      <c r="E87" s="13">
        <v>3</v>
      </c>
      <c r="F87" s="14">
        <v>4</v>
      </c>
      <c r="G87" s="13">
        <v>3</v>
      </c>
      <c r="H87" s="12">
        <v>20</v>
      </c>
      <c r="I87" s="7">
        <v>5</v>
      </c>
    </row>
    <row r="88" spans="1:9" x14ac:dyDescent="0.3">
      <c r="A88" s="6" t="s">
        <v>496</v>
      </c>
      <c r="B88" s="13">
        <v>3</v>
      </c>
      <c r="C88" s="14">
        <v>4</v>
      </c>
      <c r="D88" s="13">
        <v>3</v>
      </c>
      <c r="E88" s="13">
        <v>3</v>
      </c>
      <c r="F88" s="14">
        <v>4</v>
      </c>
      <c r="G88" s="13">
        <v>3</v>
      </c>
      <c r="H88" s="12">
        <v>20</v>
      </c>
      <c r="I88" s="6">
        <v>5</v>
      </c>
    </row>
    <row r="89" spans="1:9" x14ac:dyDescent="0.3">
      <c r="A89" s="7" t="s">
        <v>501</v>
      </c>
      <c r="B89" s="13">
        <v>3</v>
      </c>
      <c r="C89" s="14">
        <v>4</v>
      </c>
      <c r="D89" s="13">
        <v>3</v>
      </c>
      <c r="E89" s="13">
        <v>3</v>
      </c>
      <c r="F89" s="14">
        <v>4</v>
      </c>
      <c r="G89" s="13">
        <v>3</v>
      </c>
      <c r="H89" s="12">
        <v>20</v>
      </c>
      <c r="I89" s="7">
        <v>5</v>
      </c>
    </row>
    <row r="90" spans="1:9" x14ac:dyDescent="0.3">
      <c r="A90" s="6" t="s">
        <v>506</v>
      </c>
      <c r="B90" s="13">
        <v>3</v>
      </c>
      <c r="C90" s="14">
        <v>4</v>
      </c>
      <c r="D90" s="13">
        <v>3</v>
      </c>
      <c r="E90" s="13">
        <v>3</v>
      </c>
      <c r="F90" s="14">
        <v>4</v>
      </c>
      <c r="G90" s="13">
        <v>3</v>
      </c>
      <c r="H90" s="12">
        <v>20</v>
      </c>
      <c r="I90" s="6">
        <v>5</v>
      </c>
    </row>
    <row r="91" spans="1:9" x14ac:dyDescent="0.3">
      <c r="A91" s="7" t="s">
        <v>511</v>
      </c>
      <c r="B91" s="13">
        <v>3</v>
      </c>
      <c r="C91" s="14">
        <v>4</v>
      </c>
      <c r="D91" s="13">
        <v>3</v>
      </c>
      <c r="E91" s="13">
        <v>3</v>
      </c>
      <c r="F91" s="14">
        <v>4</v>
      </c>
      <c r="G91" s="13">
        <v>3</v>
      </c>
      <c r="H91" s="12">
        <v>20</v>
      </c>
      <c r="I91" s="7">
        <v>5</v>
      </c>
    </row>
    <row r="92" spans="1:9" x14ac:dyDescent="0.3">
      <c r="A92" s="6" t="s">
        <v>515</v>
      </c>
      <c r="B92" s="13">
        <v>3</v>
      </c>
      <c r="C92" s="14">
        <v>4</v>
      </c>
      <c r="D92" s="13">
        <v>3</v>
      </c>
      <c r="E92" s="13">
        <v>3</v>
      </c>
      <c r="F92" s="14">
        <v>4</v>
      </c>
      <c r="G92" s="13">
        <v>3</v>
      </c>
      <c r="H92" s="12">
        <v>20</v>
      </c>
      <c r="I92" s="6">
        <v>5</v>
      </c>
    </row>
    <row r="93" spans="1:9" x14ac:dyDescent="0.3">
      <c r="A93" s="7" t="s">
        <v>519</v>
      </c>
      <c r="B93" s="13">
        <v>3</v>
      </c>
      <c r="C93" s="14">
        <v>4</v>
      </c>
      <c r="D93" s="13">
        <v>3</v>
      </c>
      <c r="E93" s="13">
        <v>3</v>
      </c>
      <c r="F93" s="14">
        <v>4</v>
      </c>
      <c r="G93" s="13">
        <v>3</v>
      </c>
      <c r="H93" s="12">
        <v>20</v>
      </c>
      <c r="I93" s="7">
        <v>5</v>
      </c>
    </row>
    <row r="94" spans="1:9" x14ac:dyDescent="0.3">
      <c r="A94" s="6" t="s">
        <v>525</v>
      </c>
      <c r="B94" s="13">
        <v>3</v>
      </c>
      <c r="C94" s="14">
        <v>4</v>
      </c>
      <c r="D94" s="13">
        <v>3</v>
      </c>
      <c r="E94" s="13">
        <v>3</v>
      </c>
      <c r="F94" s="14">
        <v>4</v>
      </c>
      <c r="G94" s="13">
        <v>3</v>
      </c>
      <c r="H94" s="12">
        <v>20</v>
      </c>
      <c r="I94" s="6">
        <v>5</v>
      </c>
    </row>
    <row r="95" spans="1:9" x14ac:dyDescent="0.3">
      <c r="A95" s="7" t="s">
        <v>530</v>
      </c>
      <c r="B95" s="13">
        <v>3</v>
      </c>
      <c r="C95" s="14">
        <v>4</v>
      </c>
      <c r="D95" s="13">
        <v>3</v>
      </c>
      <c r="E95" s="13">
        <v>3</v>
      </c>
      <c r="F95" s="14">
        <v>4</v>
      </c>
      <c r="G95" s="13">
        <v>3</v>
      </c>
      <c r="H95" s="12">
        <v>20</v>
      </c>
      <c r="I95" s="7">
        <v>5</v>
      </c>
    </row>
    <row r="96" spans="1:9" x14ac:dyDescent="0.3">
      <c r="A96" s="6" t="s">
        <v>537</v>
      </c>
      <c r="B96" s="13">
        <v>3</v>
      </c>
      <c r="C96" s="14">
        <v>4</v>
      </c>
      <c r="D96" s="13">
        <v>3</v>
      </c>
      <c r="E96" s="13">
        <v>3</v>
      </c>
      <c r="F96" s="14">
        <v>4</v>
      </c>
      <c r="G96" s="13">
        <v>3</v>
      </c>
      <c r="H96" s="12">
        <v>20</v>
      </c>
      <c r="I96" s="6">
        <v>5</v>
      </c>
    </row>
    <row r="97" spans="1:9" x14ac:dyDescent="0.3">
      <c r="A97" s="7" t="s">
        <v>543</v>
      </c>
      <c r="B97" s="13">
        <v>3</v>
      </c>
      <c r="C97" s="14">
        <v>4</v>
      </c>
      <c r="D97" s="13">
        <v>3</v>
      </c>
      <c r="E97" s="13">
        <v>3</v>
      </c>
      <c r="F97" s="14">
        <v>4</v>
      </c>
      <c r="G97" s="13">
        <v>3</v>
      </c>
      <c r="H97" s="12">
        <v>20</v>
      </c>
      <c r="I97" s="7">
        <v>5</v>
      </c>
    </row>
    <row r="98" spans="1:9" x14ac:dyDescent="0.3">
      <c r="A98" s="6" t="s">
        <v>549</v>
      </c>
      <c r="B98" s="13">
        <v>3</v>
      </c>
      <c r="C98" s="14">
        <v>4</v>
      </c>
      <c r="D98" s="13">
        <v>3</v>
      </c>
      <c r="E98" s="13">
        <v>3</v>
      </c>
      <c r="F98" s="14">
        <v>4</v>
      </c>
      <c r="G98" s="13">
        <v>3</v>
      </c>
      <c r="H98" s="12">
        <v>20</v>
      </c>
      <c r="I98" s="6">
        <v>5</v>
      </c>
    </row>
    <row r="99" spans="1:9" x14ac:dyDescent="0.3">
      <c r="A99" s="7" t="s">
        <v>555</v>
      </c>
      <c r="B99" s="13">
        <v>3</v>
      </c>
      <c r="C99" s="14">
        <v>4</v>
      </c>
      <c r="D99" s="13">
        <v>3</v>
      </c>
      <c r="E99" s="13">
        <v>3</v>
      </c>
      <c r="F99" s="14">
        <v>4</v>
      </c>
      <c r="G99" s="13">
        <v>3</v>
      </c>
      <c r="H99" s="12">
        <v>20</v>
      </c>
      <c r="I99" s="7">
        <v>5</v>
      </c>
    </row>
    <row r="100" spans="1:9" x14ac:dyDescent="0.3">
      <c r="A100" s="6" t="s">
        <v>562</v>
      </c>
      <c r="B100" s="13">
        <v>3</v>
      </c>
      <c r="C100" s="14">
        <v>4</v>
      </c>
      <c r="D100" s="13">
        <v>3</v>
      </c>
      <c r="E100" s="13">
        <v>3</v>
      </c>
      <c r="F100" s="14">
        <v>4</v>
      </c>
      <c r="G100" s="13">
        <v>3</v>
      </c>
      <c r="H100" s="12">
        <v>20</v>
      </c>
      <c r="I100" s="6">
        <v>5</v>
      </c>
    </row>
    <row r="101" spans="1:9" x14ac:dyDescent="0.3">
      <c r="A101" s="7" t="s">
        <v>566</v>
      </c>
      <c r="B101" s="13">
        <v>3</v>
      </c>
      <c r="C101" s="14">
        <v>4</v>
      </c>
      <c r="D101" s="13">
        <v>3</v>
      </c>
      <c r="E101" s="13">
        <v>3</v>
      </c>
      <c r="F101" s="14">
        <v>4</v>
      </c>
      <c r="G101" s="13">
        <v>3</v>
      </c>
      <c r="H101" s="12">
        <v>20</v>
      </c>
      <c r="I101" s="7">
        <v>5</v>
      </c>
    </row>
    <row r="102" spans="1:9" x14ac:dyDescent="0.3">
      <c r="A102" s="6" t="s">
        <v>572</v>
      </c>
      <c r="B102" s="13">
        <v>3</v>
      </c>
      <c r="C102" s="14">
        <v>4</v>
      </c>
      <c r="D102" s="13">
        <v>3</v>
      </c>
      <c r="E102" s="13">
        <v>3</v>
      </c>
      <c r="F102" s="14">
        <v>4</v>
      </c>
      <c r="G102" s="13">
        <v>3</v>
      </c>
      <c r="H102" s="12">
        <v>20</v>
      </c>
      <c r="I102" s="6">
        <v>5</v>
      </c>
    </row>
    <row r="103" spans="1:9" x14ac:dyDescent="0.3">
      <c r="A103" s="7" t="s">
        <v>577</v>
      </c>
      <c r="B103" s="13">
        <v>3</v>
      </c>
      <c r="C103" s="14">
        <v>4</v>
      </c>
      <c r="D103" s="13">
        <v>3</v>
      </c>
      <c r="E103" s="13">
        <v>3</v>
      </c>
      <c r="F103" s="14">
        <v>4</v>
      </c>
      <c r="G103" s="13">
        <v>3</v>
      </c>
      <c r="H103" s="12">
        <v>20</v>
      </c>
      <c r="I103" s="7">
        <v>5</v>
      </c>
    </row>
    <row r="104" spans="1:9" x14ac:dyDescent="0.3">
      <c r="A104" s="6" t="s">
        <v>582</v>
      </c>
      <c r="B104" s="12">
        <v>5</v>
      </c>
      <c r="C104" s="12">
        <v>5</v>
      </c>
      <c r="D104" s="13">
        <v>3</v>
      </c>
      <c r="E104" s="14">
        <v>4</v>
      </c>
      <c r="F104" s="12">
        <v>5</v>
      </c>
      <c r="G104" s="12">
        <v>5</v>
      </c>
      <c r="H104" s="12">
        <v>27</v>
      </c>
      <c r="I104" s="6">
        <v>1</v>
      </c>
    </row>
    <row r="105" spans="1:9" x14ac:dyDescent="0.3">
      <c r="A105" s="7" t="s">
        <v>587</v>
      </c>
      <c r="B105" s="13">
        <v>3</v>
      </c>
      <c r="C105" s="14">
        <v>4</v>
      </c>
      <c r="D105" s="13">
        <v>3</v>
      </c>
      <c r="E105" s="13">
        <v>3</v>
      </c>
      <c r="F105" s="14">
        <v>4</v>
      </c>
      <c r="G105" s="13">
        <v>3</v>
      </c>
      <c r="H105" s="12">
        <v>20</v>
      </c>
      <c r="I105" s="7">
        <v>5</v>
      </c>
    </row>
    <row r="106" spans="1:9" x14ac:dyDescent="0.3">
      <c r="A106" s="6" t="s">
        <v>592</v>
      </c>
      <c r="B106" s="13">
        <v>3</v>
      </c>
      <c r="C106" s="14">
        <v>4</v>
      </c>
      <c r="D106" s="13">
        <v>3</v>
      </c>
      <c r="E106" s="13">
        <v>3</v>
      </c>
      <c r="F106" s="14">
        <v>4</v>
      </c>
      <c r="G106" s="13">
        <v>3</v>
      </c>
      <c r="H106" s="12">
        <v>20</v>
      </c>
      <c r="I106" s="6">
        <v>5</v>
      </c>
    </row>
    <row r="107" spans="1:9" x14ac:dyDescent="0.3">
      <c r="A107" s="7" t="s">
        <v>596</v>
      </c>
      <c r="B107" s="12">
        <v>5</v>
      </c>
      <c r="C107" s="12">
        <v>5</v>
      </c>
      <c r="D107" s="14">
        <v>4</v>
      </c>
      <c r="E107" s="13">
        <v>3</v>
      </c>
      <c r="F107" s="12">
        <v>5</v>
      </c>
      <c r="G107" s="12">
        <v>5</v>
      </c>
      <c r="H107" s="12">
        <v>27</v>
      </c>
      <c r="I107" s="7">
        <v>1</v>
      </c>
    </row>
    <row r="108" spans="1:9" x14ac:dyDescent="0.3">
      <c r="A108" s="6" t="s">
        <v>601</v>
      </c>
      <c r="B108" s="13">
        <v>3</v>
      </c>
      <c r="C108" s="14">
        <v>4</v>
      </c>
      <c r="D108" s="13">
        <v>3</v>
      </c>
      <c r="E108" s="13">
        <v>3</v>
      </c>
      <c r="F108" s="14">
        <v>4</v>
      </c>
      <c r="G108" s="13">
        <v>3</v>
      </c>
      <c r="H108" s="12">
        <v>20</v>
      </c>
      <c r="I108" s="6">
        <v>5</v>
      </c>
    </row>
    <row r="109" spans="1:9" x14ac:dyDescent="0.3">
      <c r="A109" s="7" t="s">
        <v>606</v>
      </c>
      <c r="B109" s="13">
        <v>3</v>
      </c>
      <c r="C109" s="14">
        <v>4</v>
      </c>
      <c r="D109" s="13">
        <v>3</v>
      </c>
      <c r="E109" s="13">
        <v>3</v>
      </c>
      <c r="F109" s="14">
        <v>4</v>
      </c>
      <c r="G109" s="13">
        <v>3</v>
      </c>
      <c r="H109" s="12">
        <v>20</v>
      </c>
      <c r="I109" s="7">
        <v>5</v>
      </c>
    </row>
  </sheetData>
  <autoFilter ref="A1:I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Overview</vt:lpstr>
      <vt:lpstr>Companies_Master</vt:lpstr>
      <vt:lpstr>Decision_Makers</vt:lpstr>
      <vt:lpstr>Hiring_Contacts</vt:lpstr>
      <vt:lpstr>Outreach_Tracker</vt:lpstr>
      <vt:lpstr>Job_Relevance_Score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Priyanka Paliwal</cp:lastModifiedBy>
  <cp:revision>0</cp:revision>
  <dcterms:created xsi:type="dcterms:W3CDTF">2026-05-31T04:24:30Z</dcterms:created>
  <dcterms:modified xsi:type="dcterms:W3CDTF">2026-05-31T11:19:20Z</dcterms:modified>
  <dc:language>en-US</dc:language>
</cp:coreProperties>
</file>